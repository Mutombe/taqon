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YoG8JXlcqYPEm7gZDUj95g78juZH2XLuQ5LlXd4RCc="/>
    </ext>
  </extLst>
</workbook>
</file>

<file path=xl/sharedStrings.xml><?xml version="1.0" encoding="utf-8"?>
<sst xmlns="http://schemas.openxmlformats.org/spreadsheetml/2006/main" count="135" uniqueCount="135">
  <si>
    <t>TOTAL PACKAGE COST INCL LABOUR</t>
  </si>
  <si>
    <t>PACKAGE MATERIAL PRICE</t>
  </si>
  <si>
    <t>Home ECONOMY 3KVA</t>
  </si>
  <si>
    <t>HOME LUXURY 1.0 5KVA</t>
  </si>
  <si>
    <t>HOME LUXURY 1.1 5KVA</t>
  </si>
  <si>
    <t>HOME LUXURY 1.2 5KVA</t>
  </si>
  <si>
    <t>HOME LUXURY 2.0 5KVA</t>
  </si>
  <si>
    <t>HOME LUXURY 2.1 5KVA</t>
  </si>
  <si>
    <t>HOME LUXURY PERFORMANCE 5KVA</t>
  </si>
  <si>
    <t>HOME DELUX 2.0 8KVA</t>
  </si>
  <si>
    <t>HOME DELUXE 2.1 8KVA</t>
  </si>
  <si>
    <t>HOME DELUX V2.2  8KVA</t>
  </si>
  <si>
    <t>HOME DELUX PERFORMANCE 8KVA</t>
  </si>
  <si>
    <t>ULTRA POWER V2.0 10KVA</t>
  </si>
  <si>
    <t>ULTRA POWER V2.1 10KVA</t>
  </si>
  <si>
    <t>ULTRA POWER PERFORMANCE 10KVA</t>
  </si>
  <si>
    <t>PREMUIM POWER 1.0 12KVA</t>
  </si>
  <si>
    <t>PREMIUM POWER 1.1 12KVA</t>
  </si>
  <si>
    <t>PREMIUM POWER V1 PERFORMANCE 12KVA</t>
  </si>
  <si>
    <t>PREMIUM POWER 2.0 12KVA</t>
  </si>
  <si>
    <t>PREMIUM POWER 2.1 12KVA</t>
  </si>
  <si>
    <t>PREMIUM POWER V2 PERFORMANCE 12KVA</t>
  </si>
  <si>
    <t>PRO POWER 1.0</t>
  </si>
  <si>
    <t>PRO POWER 1.1</t>
  </si>
  <si>
    <t>PRO POWER V1.2</t>
  </si>
  <si>
    <t>PRO POWER PERFORMANCE</t>
  </si>
  <si>
    <t>MASTER POWER V1.0</t>
  </si>
  <si>
    <t>MASTER POWER V1.2</t>
  </si>
  <si>
    <t>MASTER POWER V1.3</t>
  </si>
  <si>
    <t>MASTER POWER PERFORMANCE</t>
  </si>
  <si>
    <t>TYPICAL SHOP UNIT PRICE</t>
  </si>
  <si>
    <t>3KVA MUST INVERTER 24V</t>
  </si>
  <si>
    <t>6KVA GROWATT HYBRID INVERTER 48V</t>
  </si>
  <si>
    <t>5KVA HYBRID SUNSYNK INVERTER 48V</t>
  </si>
  <si>
    <t>8KVA HYBRID SUNSYNK INVERTER 48V</t>
  </si>
  <si>
    <t>10KVA HYBRID SUNSYNK INVERTER 48V</t>
  </si>
  <si>
    <t>12KVA HYBRID SUNSYNK INVERTER 48V</t>
  </si>
  <si>
    <t>12KVA HYBRID SUNSYNK INVERTER 3 PHASE 48V</t>
  </si>
  <si>
    <t>16KVA HYBRID SUNSYNK INVERTER 48V</t>
  </si>
  <si>
    <t>20KVA HYBRID SUNSYNK INVERTER 48V</t>
  </si>
  <si>
    <t>25KVA HYBRID SUNSYNK INVERTER HV</t>
  </si>
  <si>
    <t>30KVA HYBRID INVERTER SUNSYNK HV</t>
  </si>
  <si>
    <t>50KVA SUNSYNK HYBRID INVERTER HV</t>
  </si>
  <si>
    <t>DYNESS 24V 100AH LITHIUM BATTERY</t>
  </si>
  <si>
    <t>DYNESS 51V 100AH LITHIUM BATTERY</t>
  </si>
  <si>
    <t>DYNESS 51V 200AH LITHIU BATTERY</t>
  </si>
  <si>
    <t>DYNESS 51V 280AH LITHIUM BATTERY</t>
  </si>
  <si>
    <t>DYNESS 51V 100AH LITHIUM BATTERY HV</t>
  </si>
  <si>
    <t>DYNESS STACK BDU</t>
  </si>
  <si>
    <t>450W SOLAR PANEL JINKO BI-FACIAL</t>
  </si>
  <si>
    <t>620W JINKO BI-FACIAL SOLAR PANEL</t>
  </si>
  <si>
    <t>6m galvanized rails quantity</t>
  </si>
  <si>
    <t>anti-theft clamps quantity</t>
  </si>
  <si>
    <t>tile hook AND BOLTS AND NUTS QUANNTY if tile roof</t>
  </si>
  <si>
    <t>IBR brackets if IBR ROOF</t>
  </si>
  <si>
    <t>DOWELS QUANTITY OF ASBESTORS ROOF</t>
  </si>
  <si>
    <t>6mm solar cable length</t>
  </si>
  <si>
    <t>mc4 clips quantity</t>
  </si>
  <si>
    <t>50 x 50mm grey trunking</t>
  </si>
  <si>
    <t>40x40mm white trunking</t>
  </si>
  <si>
    <t>75x75mm white trunking</t>
  </si>
  <si>
    <t>4mm dry wall screws/ pack of 100</t>
  </si>
  <si>
    <t>6mm fischer plugs/pack of 100</t>
  </si>
  <si>
    <t>12 way distribution board pvc</t>
  </si>
  <si>
    <t>250A 3 POLE BATTERY DISCONNECT</t>
  </si>
  <si>
    <t>250A BATTERY FUSES</t>
  </si>
  <si>
    <t>160A 3 POLE BATTERY DISCONNECT</t>
  </si>
  <si>
    <t>160A BATTERY FUSES</t>
  </si>
  <si>
    <t>125A BATTERY FUSES</t>
  </si>
  <si>
    <t>32A SOLAR PANELS HOLDERS</t>
  </si>
  <si>
    <t>32A SOLAR PANEL FUSES</t>
  </si>
  <si>
    <t>500V DC SURGE PROTECTOR 2 POLE</t>
  </si>
  <si>
    <t>500V AC SURGE PROTECTOR 2 POLE</t>
  </si>
  <si>
    <t>1000V DC DURGE PROTECTOR 2 POLE</t>
  </si>
  <si>
    <t>32MM SPRAIGE TUBE/M</t>
  </si>
  <si>
    <t>32MM SPRAIGE TUBE GLAND</t>
  </si>
  <si>
    <t>21MM SPRAIGE TUBE</t>
  </si>
  <si>
    <t>21MM SPRAIGE TUBE GLAND</t>
  </si>
  <si>
    <t>2 POLE 63A DIN RAIL CHANGE OVER SWITCH</t>
  </si>
  <si>
    <t>4 POLE 63A DIN RAIL CHANGE OVER SWITCH</t>
  </si>
  <si>
    <t>4 POLE 100A DIN RAIL CHANGE OVER SWITCH</t>
  </si>
  <si>
    <t>100A ROTARY TYPE CHANGE OVER SWITCH WITH METALIC ENCLOSURE</t>
  </si>
  <si>
    <t>25MM SINGLE CORE BATTERY CABLE</t>
  </si>
  <si>
    <t>35MM SINGLE CORE BATTERY CABLE</t>
  </si>
  <si>
    <t>50MM SINGLE CORE BATTERY CABLE</t>
  </si>
  <si>
    <t>75MM SINGLE CORE BATTERY CABLE</t>
  </si>
  <si>
    <t>25MM X 10 CRIMP LUGGS</t>
  </si>
  <si>
    <t>35MM X 10 CRIMP LUGGS</t>
  </si>
  <si>
    <t>50MM X 12 CRIMP LUGGS</t>
  </si>
  <si>
    <t>75MM X 12 CRIMP LUGGS</t>
  </si>
  <si>
    <t>16MM X 10 CRIMP LUGGS</t>
  </si>
  <si>
    <t>10MM X 10 CRIMP LUGGS</t>
  </si>
  <si>
    <t>10A SINGLE POLE AC MCB</t>
  </si>
  <si>
    <t>15A SINGLE POLE AC MCB</t>
  </si>
  <si>
    <t>20A SINGLE POLE AC MCB</t>
  </si>
  <si>
    <t>32A SINGLE POLE AC MCB</t>
  </si>
  <si>
    <t>40A SINGLE POLE AC MCB</t>
  </si>
  <si>
    <t>63A SINGLE POLE AC MCB</t>
  </si>
  <si>
    <t>45A TRIPPLE POLE AC MCB</t>
  </si>
  <si>
    <t>63A TRIPPLE POLE AC MCB</t>
  </si>
  <si>
    <t>100A TRIPPLE POLE AC MCB</t>
  </si>
  <si>
    <t>10MM SINGLE POLE CABLE BARE AC CABLE</t>
  </si>
  <si>
    <t>10MM SINGLE CORE CABLE RED AC CABLE</t>
  </si>
  <si>
    <t>10MM SINGLE CORE CABLE YELLOW</t>
  </si>
  <si>
    <t>10MM SINGLE CORE CABLE BLUE</t>
  </si>
  <si>
    <t>10MM SINGLE CORE CABLE BLACK AC CABLE</t>
  </si>
  <si>
    <t>6MM SINGLE CORE CABLE RED AC CABLE</t>
  </si>
  <si>
    <t>6MM SINGLE CORE CABLE YELLOW AC CABLE</t>
  </si>
  <si>
    <t>6MM SINGLE CORE CABLE BLUE AC CABLE</t>
  </si>
  <si>
    <t>6MM SINGLE CORE CABLE BLACK AC CABLE</t>
  </si>
  <si>
    <t>6MM SINGLE CORE CABLE BARE AC CABLE</t>
  </si>
  <si>
    <t>16MM SINGLE POLE CABLE BARE AC CABLE</t>
  </si>
  <si>
    <t>16MM SINGLE CORE CABLE RED AC CABLE</t>
  </si>
  <si>
    <t>16MM SINGLE CORE CABLE YELLOW AC CABLE</t>
  </si>
  <si>
    <t>16MM SINGLE CORE CABLE BLUE AC CABLE</t>
  </si>
  <si>
    <t>16MM SINGLE CORE CABLE BLACK AC CABLE</t>
  </si>
  <si>
    <t>4MM 4 CORE CABLE FLEX AC CABLE</t>
  </si>
  <si>
    <t>2.5MM 3 CORE CABLE FLEX AC CABLE</t>
  </si>
  <si>
    <t>1.5MM 3 CORE FLEX CABLE AC CABLE</t>
  </si>
  <si>
    <t>1.5MM 1 CORE CABLE HOUSE WIRE RED AC CABLE</t>
  </si>
  <si>
    <t>1.5MM 1 CORE CABLE HOUSE WIRE BLACK AC CABLE</t>
  </si>
  <si>
    <t>1.5MM 1 CORE CABLE HOUSE WIRE EARTH</t>
  </si>
  <si>
    <t>EARTH ROD</t>
  </si>
  <si>
    <t>2.5MM 1 CORE CABLE HOUSE WIRE RED</t>
  </si>
  <si>
    <t>2.5MM 1 CORE CABLE HOUSE WIRE BLACK</t>
  </si>
  <si>
    <t>2.5MM 1 CORE CABLE HOUSE WIRE EARTH</t>
  </si>
  <si>
    <t>6MM 4 CORE CABLE FLEX</t>
  </si>
  <si>
    <t>10MM 4 CORE CABLE FLEX</t>
  </si>
  <si>
    <t>10MM 4 CORE ARMOURED CABLE</t>
  </si>
  <si>
    <t>16MM 4 CORE ARMOURED CABLE</t>
  </si>
  <si>
    <t>4MM 4 CORE ARMOURD CABLE</t>
  </si>
  <si>
    <t xml:space="preserve">SUNDRIES : insulation tape 2 rolls; heatshrinkables; crimp luggs; drill bits; hole saws; hucksaws; cable tiers; circuit labels; sillicone; </t>
  </si>
  <si>
    <t>SKILLED LABOUR 8% OF TOTAL MATERIALS AND SUNDRIES</t>
  </si>
  <si>
    <t>DISTANCE</t>
  </si>
  <si>
    <t>TRANSPORTATION 0.65C PER KM OUTISDE HARARE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</si>
</sst>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C4BD97"/>
        <bgColor rgb="FFC4BD97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rgb="FFC00000"/>
        <bgColor rgb="FFC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1" fillId="4" fontId="1" numFmtId="0" xfId="0" applyAlignment="1" applyBorder="1" applyFill="1" applyFont="1">
      <alignment shrinkToFit="0" wrapText="1"/>
    </xf>
    <xf borderId="1" fillId="2" fontId="1" numFmtId="0" xfId="0" applyBorder="1" applyFont="1"/>
    <xf borderId="1" fillId="5" fontId="1" numFmtId="0" xfId="0" applyAlignment="1" applyBorder="1" applyFill="1" applyFont="1">
      <alignment shrinkToFit="0" wrapText="1"/>
    </xf>
    <xf borderId="1" fillId="5" fontId="1" numFmtId="0" xfId="0" applyBorder="1" applyFont="1"/>
    <xf borderId="1" fillId="6" fontId="1" numFmtId="0" xfId="0" applyAlignment="1" applyBorder="1" applyFill="1" applyFont="1">
      <alignment shrinkToFit="0" wrapText="1"/>
    </xf>
    <xf borderId="1" fillId="6" fontId="1" numFmtId="0" xfId="0" applyBorder="1" applyFont="1"/>
    <xf borderId="2" fillId="6" fontId="1" numFmtId="0" xfId="0" applyAlignment="1" applyBorder="1" applyFont="1">
      <alignment shrinkToFit="0" wrapText="1"/>
    </xf>
    <xf borderId="3" fillId="6" fontId="1" numFmtId="0" xfId="0" applyBorder="1" applyFont="1"/>
    <xf borderId="4" fillId="7" fontId="1" numFmtId="0" xfId="0" applyAlignment="1" applyBorder="1" applyFill="1" applyFont="1">
      <alignment shrinkToFit="0" wrapText="1"/>
    </xf>
    <xf borderId="1" fillId="7" fontId="1" numFmtId="0" xfId="0" applyBorder="1" applyFont="1"/>
    <xf borderId="1" fillId="4" fontId="1" numFmtId="0" xfId="0" applyAlignment="1" applyBorder="1" applyFont="1">
      <alignment readingOrder="0" shrinkToFit="0" wrapText="1"/>
    </xf>
    <xf borderId="1" fillId="7" fontId="1" numFmtId="0" xfId="0" applyAlignment="1" applyBorder="1" applyFont="1">
      <alignment vertical="top"/>
    </xf>
    <xf borderId="4" fillId="8" fontId="1" numFmtId="0" xfId="0" applyAlignment="1" applyBorder="1" applyFill="1" applyFont="1">
      <alignment shrinkToFit="0" wrapText="1"/>
    </xf>
    <xf borderId="1" fillId="8" fontId="1" numFmtId="0" xfId="0" applyBorder="1" applyFont="1"/>
    <xf borderId="1" fillId="9" fontId="1" numFmtId="0" xfId="0" applyBorder="1" applyFill="1" applyFont="1"/>
    <xf borderId="5" fillId="3" fontId="1" numFmtId="0" xfId="0" applyBorder="1" applyFont="1"/>
    <xf borderId="1" fillId="8" fontId="1" numFmtId="0" xfId="0" applyAlignment="1" applyBorder="1" applyFont="1">
      <alignment shrinkToFit="0" wrapText="1"/>
    </xf>
    <xf borderId="1" fillId="10" fontId="1" numFmtId="0" xfId="0" applyAlignment="1" applyBorder="1" applyFill="1" applyFont="1">
      <alignment shrinkToFit="0" wrapText="1"/>
    </xf>
    <xf borderId="1" fillId="10" fontId="1" numFmtId="0" xfId="0" applyBorder="1" applyFont="1"/>
    <xf borderId="1" fillId="11" fontId="1" numFmtId="0" xfId="0" applyAlignment="1" applyBorder="1" applyFill="1" applyFont="1">
      <alignment shrinkToFit="0" wrapText="1"/>
    </xf>
    <xf borderId="1" fillId="11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9.29"/>
    <col customWidth="1" min="3" max="8" width="8.14"/>
    <col customWidth="1" min="9" max="9" width="15.86"/>
    <col customWidth="1" min="10" max="13" width="13.86"/>
    <col customWidth="1" min="14" max="15" width="14.0"/>
    <col customWidth="1" min="16" max="16" width="11.71"/>
    <col customWidth="1" min="17" max="17" width="10.86"/>
    <col customWidth="1" min="18" max="18" width="12.86"/>
    <col customWidth="1" min="19" max="19" width="10.0"/>
    <col customWidth="1" min="20" max="20" width="11.57"/>
    <col customWidth="1" min="21" max="21" width="14.43"/>
    <col customWidth="1" min="22" max="25" width="15.0"/>
    <col customWidth="1" min="26" max="28" width="18.71"/>
    <col customWidth="1" min="29" max="30" width="19.86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" t="s">
        <v>0</v>
      </c>
      <c r="B7" s="2">
        <f t="shared" ref="B7:AC7" si="1">B8+B113+B111</f>
        <v>1616.07992</v>
      </c>
      <c r="C7" s="2">
        <f t="shared" si="1"/>
        <v>2515.40488</v>
      </c>
      <c r="D7" s="2">
        <f t="shared" si="1"/>
        <v>2812.51488</v>
      </c>
      <c r="E7" s="2">
        <f t="shared" si="1"/>
        <v>4216.49468</v>
      </c>
      <c r="F7" s="2">
        <f t="shared" si="1"/>
        <v>3586.18932</v>
      </c>
      <c r="G7" s="2">
        <f t="shared" si="1"/>
        <v>4995.13896</v>
      </c>
      <c r="H7" s="2">
        <f t="shared" si="1"/>
        <v>5724.40896</v>
      </c>
      <c r="I7" s="2">
        <f t="shared" si="1"/>
        <v>5785.45156</v>
      </c>
      <c r="J7" s="2">
        <f t="shared" si="1"/>
        <v>6622.76156</v>
      </c>
      <c r="K7" s="2">
        <f t="shared" si="1"/>
        <v>8376.03468</v>
      </c>
      <c r="L7" s="2">
        <f t="shared" si="1"/>
        <v>9821.60988</v>
      </c>
      <c r="M7" s="2">
        <f t="shared" si="1"/>
        <v>7580.86028</v>
      </c>
      <c r="N7" s="2">
        <f t="shared" si="1"/>
        <v>9350.55548</v>
      </c>
      <c r="O7" s="2">
        <f t="shared" si="1"/>
        <v>11172.65008</v>
      </c>
      <c r="P7" s="2">
        <f t="shared" si="1"/>
        <v>8044.35188</v>
      </c>
      <c r="Q7" s="2">
        <f t="shared" si="1"/>
        <v>10074.42348</v>
      </c>
      <c r="R7" s="2">
        <f t="shared" si="1"/>
        <v>12097.47248</v>
      </c>
      <c r="S7" s="2">
        <f t="shared" si="1"/>
        <v>8585.63228</v>
      </c>
      <c r="T7" s="2">
        <f t="shared" si="1"/>
        <v>10586.53308</v>
      </c>
      <c r="U7" s="2">
        <f t="shared" si="1"/>
        <v>12609.58208</v>
      </c>
      <c r="V7" s="2">
        <f t="shared" si="1"/>
        <v>11514.70472</v>
      </c>
      <c r="W7" s="2">
        <f t="shared" si="1"/>
        <v>13187.70412</v>
      </c>
      <c r="X7" s="2">
        <f t="shared" si="1"/>
        <v>16856.74252</v>
      </c>
      <c r="Y7" s="2">
        <f t="shared" si="1"/>
        <v>19561.52392</v>
      </c>
      <c r="Z7" s="2">
        <f t="shared" si="1"/>
        <v>15644.42568</v>
      </c>
      <c r="AA7" s="2">
        <f t="shared" si="1"/>
        <v>19643.52628</v>
      </c>
      <c r="AB7" s="2">
        <f t="shared" si="1"/>
        <v>23038.14308</v>
      </c>
      <c r="AC7" s="2">
        <f t="shared" si="1"/>
        <v>29436.81208</v>
      </c>
      <c r="AD7" s="2"/>
    </row>
    <row r="8">
      <c r="A8" s="1" t="s">
        <v>1</v>
      </c>
      <c r="B8" s="2">
        <f>B10*AD10+B11*AD11+B12*AD12+B13*AD13+B14*AD14+B15*AD15+B16*AD16+B17*AD17+AD18*B18+B19*AD19+B20*AD20+B21*AD21+B22*AD22+AD23*B23+B24*AD24+B25*AD25+B26*AD26+B27*AD27+B28*AD28+B29*AD29+B30*AD30+B31*AD31+B32*AD32+B33*AD33+B34*AD34+B35*AD35+B36*AD36+B37*AD37+B38*AD38+B39*AD39+B40*AD40+B41*AD41+B42*AD42+B43*AD43+B44*AD44+B45*AD45+B46*AD46+B47*AD47+B48*AD48+B49*AD49+B50*AD50+B51*AD51+B52*AD52+B53*AD53+B54*AD54+B55*AD55+B56*AD56+B57*AD57+B58*AD58+B59*AD59+B60*AD60+B61*AD61+B62*AD62+B63*AD63+B64*AD64+B65*AD65+B66*AD66+B67*AD67+B68*AD68+B69*AD69+B70*AD70+B71*AD71+B72*AD72+B73*AD73+B74*AD74+B75*AD75+B76*AD76+B77*AD77+B78*AD78+B79*AD79+B80*AD80+B81*AD81+B82*AD82+B83*AD83+B84*AD84+B85*AD85+B86*AD86+B87*AD87+B88*AD88+B89*AD89+B90*AD90+B91*AD91+B92*AD92+B93*AD93+B94*AD94+B95*AD95+B96*AD96+B97*AD97+B98*AD98+B99*AD99+B100*AD100+B101*AD101+B102*AD102+B103*AD103+B104*AD104+B105*AD105+B106*AD106+B107*AD107+B108*AD108+B109*AD109</f>
        <v>1489.8</v>
      </c>
      <c r="C8" s="2">
        <f>SUMPRODUCT(C10:C109,AD10:AD109)</f>
        <v>2322.2</v>
      </c>
      <c r="D8" s="2">
        <f>SUMPRODUCT(D10:D109,AD10:AD109)</f>
        <v>2597.2</v>
      </c>
      <c r="E8" s="2">
        <f>SUMPRODUCT(E10:E109,AD10:AD109)</f>
        <v>3896.7</v>
      </c>
      <c r="F8" s="2">
        <f>SUMPRODUCT(F10:F109,AD10:AD109)</f>
        <v>3313.3</v>
      </c>
      <c r="G8" s="2">
        <f>SUMPRODUCT(G10:G109,AD10:AD109)</f>
        <v>4617.4</v>
      </c>
      <c r="H8" s="2">
        <f>SUMPRODUCT(H10:H109,AD10:AD109)</f>
        <v>5292.4</v>
      </c>
      <c r="I8" s="2">
        <f>SUMPRODUCT(I10:I109,AD10:AD109)</f>
        <v>5348.9</v>
      </c>
      <c r="J8" s="2">
        <f>SUMPRODUCT(J10:J109,AD10:AD109)</f>
        <v>6123.9</v>
      </c>
      <c r="K8" s="2">
        <f>SUMPRODUCT(K10:K109,AD10:AD109)</f>
        <v>7746.7</v>
      </c>
      <c r="L8" s="2">
        <f>SUMPRODUCT(L10:L109,AD10:AD109)</f>
        <v>9084.7</v>
      </c>
      <c r="M8" s="2">
        <f>SUMPRODUCT(M10:M109,AD10:AD109)</f>
        <v>7010.7</v>
      </c>
      <c r="N8" s="2">
        <f>SUMPRODUCT(N10:N109,AD10:AD109)</f>
        <v>8648.7</v>
      </c>
      <c r="O8" s="2">
        <f>SUMPRODUCT(O10:O109,AD10:AD109)</f>
        <v>10335.2</v>
      </c>
      <c r="P8" s="2">
        <f>SUMPRODUCT(P10:P109,AD10:AD109)</f>
        <v>7439.7</v>
      </c>
      <c r="Q8" s="2">
        <f>SUMPRODUCT(Q10:Q109,AD10:AD109)</f>
        <v>9318.7</v>
      </c>
      <c r="R8" s="2">
        <f>SUMPRODUCT(R10:R109,AD10:AD109)</f>
        <v>11191.2</v>
      </c>
      <c r="S8" s="2">
        <f>SUMPRODUCT(S10:S109,AD10:AD109)</f>
        <v>7940.7</v>
      </c>
      <c r="T8" s="2">
        <f>SUMPRODUCT(T10:T109,AD10:AD109)</f>
        <v>9792.7</v>
      </c>
      <c r="U8" s="2">
        <f>SUMPRODUCT(U10:U109,AD10:AD109)</f>
        <v>11665.2</v>
      </c>
      <c r="V8" s="2">
        <f>SUMPRODUCT(V10:V109,AD10:AD109)</f>
        <v>10651.8</v>
      </c>
      <c r="W8" s="2">
        <f>SUMPRODUCT(W10:W109,AD10:AD109)</f>
        <v>12200.3</v>
      </c>
      <c r="X8" s="2">
        <f>SUMPRODUCT(X10:X109,AD10:AD109)</f>
        <v>15596.3</v>
      </c>
      <c r="Y8" s="2">
        <f>SUMPRODUCT(Y10:Y109,AD10:AD109)</f>
        <v>18099.8</v>
      </c>
      <c r="Z8" s="2">
        <f>SUMPRODUCT(Z10:Z109,AD10:AD109)</f>
        <v>14474.2</v>
      </c>
      <c r="AA8" s="2">
        <f>SUMPRODUCT(AA10:AA109,AD10:AD109)</f>
        <v>18175.7</v>
      </c>
      <c r="AB8" s="2">
        <f>SUMPRODUCT(AB10:AB109,AD10:AD109)</f>
        <v>21317.7</v>
      </c>
      <c r="AC8" s="2">
        <f>SUMPRODUCT(AC10:AC109,AD10:AD109)</f>
        <v>27240.2</v>
      </c>
      <c r="AD8" s="2"/>
    </row>
    <row r="9">
      <c r="A9" s="3"/>
      <c r="B9" s="3" t="s">
        <v>2</v>
      </c>
      <c r="C9" s="4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  <c r="I9" s="3" t="s">
        <v>9</v>
      </c>
      <c r="J9" s="3" t="s">
        <v>10</v>
      </c>
      <c r="K9" s="3" t="s">
        <v>11</v>
      </c>
      <c r="L9" s="3" t="s">
        <v>12</v>
      </c>
      <c r="M9" s="3" t="s">
        <v>13</v>
      </c>
      <c r="N9" s="3" t="s">
        <v>14</v>
      </c>
      <c r="O9" s="3" t="s">
        <v>15</v>
      </c>
      <c r="P9" s="3" t="s">
        <v>16</v>
      </c>
      <c r="Q9" s="3" t="s">
        <v>17</v>
      </c>
      <c r="R9" s="3" t="s">
        <v>18</v>
      </c>
      <c r="S9" s="3" t="s">
        <v>19</v>
      </c>
      <c r="T9" s="3" t="s">
        <v>20</v>
      </c>
      <c r="U9" s="3" t="s">
        <v>21</v>
      </c>
      <c r="V9" s="3" t="s">
        <v>22</v>
      </c>
      <c r="W9" s="3" t="s">
        <v>23</v>
      </c>
      <c r="X9" s="3" t="s">
        <v>24</v>
      </c>
      <c r="Y9" s="3" t="s">
        <v>25</v>
      </c>
      <c r="Z9" s="3" t="s">
        <v>26</v>
      </c>
      <c r="AA9" s="3" t="s">
        <v>27</v>
      </c>
      <c r="AB9" s="3" t="s">
        <v>28</v>
      </c>
      <c r="AC9" s="3" t="s">
        <v>29</v>
      </c>
      <c r="AD9" s="3" t="s">
        <v>30</v>
      </c>
    </row>
    <row r="10">
      <c r="A10" s="5" t="s">
        <v>31</v>
      </c>
      <c r="B10" s="6">
        <v>1.0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8">
        <v>320.0</v>
      </c>
    </row>
    <row r="11">
      <c r="A11" s="5" t="s">
        <v>32</v>
      </c>
      <c r="B11" s="7"/>
      <c r="C11" s="9">
        <v>1.0</v>
      </c>
      <c r="D11" s="9">
        <v>1.0</v>
      </c>
      <c r="E11" s="9">
        <v>1.0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8">
        <v>500.0</v>
      </c>
    </row>
    <row r="12">
      <c r="A12" s="5" t="s">
        <v>33</v>
      </c>
      <c r="B12" s="7"/>
      <c r="C12" s="7"/>
      <c r="D12" s="7"/>
      <c r="E12" s="7"/>
      <c r="F12" s="9">
        <v>1.0</v>
      </c>
      <c r="G12" s="9">
        <v>1.0</v>
      </c>
      <c r="H12" s="9">
        <v>1.0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8">
        <v>1200.0</v>
      </c>
    </row>
    <row r="13">
      <c r="A13" s="5" t="s">
        <v>34</v>
      </c>
      <c r="B13" s="7"/>
      <c r="C13" s="7"/>
      <c r="D13" s="7"/>
      <c r="E13" s="7"/>
      <c r="F13" s="7"/>
      <c r="G13" s="7"/>
      <c r="H13" s="7"/>
      <c r="I13" s="9">
        <v>1.0</v>
      </c>
      <c r="J13" s="9">
        <v>1.0</v>
      </c>
      <c r="K13" s="9">
        <v>1.0</v>
      </c>
      <c r="L13" s="9">
        <v>1.0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8">
        <v>1750.0</v>
      </c>
    </row>
    <row r="14">
      <c r="A14" s="5" t="s">
        <v>35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9">
        <v>1.0</v>
      </c>
      <c r="N14" s="9">
        <v>1.0</v>
      </c>
      <c r="O14" s="9">
        <v>1.0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>
        <v>2300.0</v>
      </c>
    </row>
    <row r="15">
      <c r="A15" s="5" t="s">
        <v>36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9">
        <v>1.0</v>
      </c>
      <c r="Q15" s="9">
        <v>1.0</v>
      </c>
      <c r="R15" s="9">
        <v>1.0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8">
        <v>2650.0</v>
      </c>
    </row>
    <row r="16">
      <c r="A16" s="5" t="s">
        <v>37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9">
        <v>1.0</v>
      </c>
      <c r="T16" s="9">
        <v>1.0</v>
      </c>
      <c r="U16" s="9">
        <v>1.0</v>
      </c>
      <c r="V16" s="7"/>
      <c r="W16" s="7"/>
      <c r="X16" s="7"/>
      <c r="Y16" s="7"/>
      <c r="Z16" s="7"/>
      <c r="AA16" s="7"/>
      <c r="AB16" s="7"/>
      <c r="AC16" s="7"/>
      <c r="AD16" s="8">
        <v>2750.0</v>
      </c>
    </row>
    <row r="17">
      <c r="A17" s="5" t="s">
        <v>38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9">
        <v>1.0</v>
      </c>
      <c r="W17" s="9">
        <v>1.0</v>
      </c>
      <c r="X17" s="9">
        <v>1.0</v>
      </c>
      <c r="Y17" s="9">
        <v>1.0</v>
      </c>
      <c r="Z17" s="7"/>
      <c r="AA17" s="7"/>
      <c r="AB17" s="7"/>
      <c r="AC17" s="7"/>
      <c r="AD17" s="8">
        <v>3550.0</v>
      </c>
    </row>
    <row r="18">
      <c r="A18" s="5" t="s">
        <v>39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>
        <v>1.0</v>
      </c>
      <c r="AA18" s="9">
        <v>1.0</v>
      </c>
      <c r="AB18" s="9">
        <v>1.0</v>
      </c>
      <c r="AC18" s="9">
        <v>1.0</v>
      </c>
      <c r="AD18" s="8">
        <v>4800.0</v>
      </c>
    </row>
    <row r="19">
      <c r="A19" s="5" t="s">
        <v>40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8">
        <v>4650.0</v>
      </c>
    </row>
    <row r="20">
      <c r="A20" s="5" t="s">
        <v>41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8">
        <v>4850.0</v>
      </c>
    </row>
    <row r="21" ht="15.75" customHeight="1">
      <c r="A21" s="5" t="s">
        <v>42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8">
        <v>5600.0</v>
      </c>
    </row>
    <row r="22" ht="15.75" customHeight="1">
      <c r="A22" s="10" t="s">
        <v>43</v>
      </c>
      <c r="B22" s="11">
        <v>1.0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>
        <v>480.0</v>
      </c>
    </row>
    <row r="23" ht="15.75" customHeight="1">
      <c r="A23" s="10" t="s">
        <v>44</v>
      </c>
      <c r="B23" s="7"/>
      <c r="C23" s="11">
        <v>1.0</v>
      </c>
      <c r="D23" s="11">
        <v>1.0</v>
      </c>
      <c r="E23" s="11">
        <v>2.0</v>
      </c>
      <c r="F23" s="11">
        <v>1.0</v>
      </c>
      <c r="G23" s="11">
        <v>2.0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>
        <v>950.0</v>
      </c>
    </row>
    <row r="24" ht="15.75" customHeight="1">
      <c r="A24" s="10" t="s">
        <v>45</v>
      </c>
      <c r="B24" s="7"/>
      <c r="C24" s="7"/>
      <c r="D24" s="7"/>
      <c r="E24" s="7"/>
      <c r="F24" s="7"/>
      <c r="G24" s="7"/>
      <c r="H24" s="7"/>
      <c r="I24" s="11">
        <v>1.0</v>
      </c>
      <c r="J24" s="7"/>
      <c r="K24" s="7">
        <v>2.0</v>
      </c>
      <c r="L24" s="7"/>
      <c r="M24" s="7"/>
      <c r="N24" s="11">
        <v>2.0</v>
      </c>
      <c r="O24" s="7"/>
      <c r="P24" s="7"/>
      <c r="Q24" s="11">
        <v>2.0</v>
      </c>
      <c r="R24" s="11"/>
      <c r="S24" s="11"/>
      <c r="T24" s="11">
        <v>2.0</v>
      </c>
      <c r="U24" s="11"/>
      <c r="V24" s="11">
        <v>2.0</v>
      </c>
      <c r="W24" s="11"/>
      <c r="X24" s="11">
        <v>4.0</v>
      </c>
      <c r="Y24" s="11"/>
      <c r="Z24" s="11"/>
      <c r="AA24" s="11">
        <v>4.0</v>
      </c>
      <c r="AB24" s="11"/>
      <c r="AC24" s="11"/>
      <c r="AD24" s="8">
        <v>1800.0</v>
      </c>
    </row>
    <row r="25" ht="15.75" customHeight="1">
      <c r="A25" s="10" t="s">
        <v>46</v>
      </c>
      <c r="B25" s="7"/>
      <c r="C25" s="7"/>
      <c r="D25" s="7"/>
      <c r="E25" s="7"/>
      <c r="F25" s="7"/>
      <c r="G25" s="7"/>
      <c r="H25" s="11">
        <v>1.0</v>
      </c>
      <c r="I25" s="7"/>
      <c r="J25" s="11">
        <v>1.0</v>
      </c>
      <c r="K25" s="11"/>
      <c r="L25" s="11">
        <v>2.0</v>
      </c>
      <c r="M25" s="11">
        <v>1.0</v>
      </c>
      <c r="N25" s="7"/>
      <c r="O25" s="11">
        <v>2.0</v>
      </c>
      <c r="P25" s="11">
        <v>1.0</v>
      </c>
      <c r="Q25" s="11"/>
      <c r="R25" s="11">
        <v>2.0</v>
      </c>
      <c r="S25" s="11">
        <v>1.0</v>
      </c>
      <c r="T25" s="11"/>
      <c r="U25" s="11">
        <v>2.0</v>
      </c>
      <c r="V25" s="11"/>
      <c r="W25" s="11">
        <v>2.0</v>
      </c>
      <c r="X25" s="11"/>
      <c r="Y25" s="11">
        <v>4.0</v>
      </c>
      <c r="Z25" s="11">
        <v>2.0</v>
      </c>
      <c r="AA25" s="11"/>
      <c r="AB25" s="11">
        <v>4.0</v>
      </c>
      <c r="AC25" s="11">
        <v>6.0</v>
      </c>
      <c r="AD25" s="8">
        <v>2300.0</v>
      </c>
    </row>
    <row r="26" ht="15.75" customHeight="1">
      <c r="A26" s="10" t="s">
        <v>47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8">
        <v>950.0</v>
      </c>
    </row>
    <row r="27" ht="15.75" customHeight="1">
      <c r="A27" s="10" t="s">
        <v>48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8">
        <v>1100.0</v>
      </c>
    </row>
    <row r="28" ht="15.75" customHeight="1">
      <c r="A28" s="12" t="s">
        <v>49</v>
      </c>
      <c r="B28" s="13">
        <v>4.0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8">
        <v>90.0</v>
      </c>
    </row>
    <row r="29" ht="15.75" customHeight="1">
      <c r="A29" s="14" t="s">
        <v>50</v>
      </c>
      <c r="B29" s="15"/>
      <c r="C29" s="15">
        <v>4.0</v>
      </c>
      <c r="D29" s="15">
        <v>6.0</v>
      </c>
      <c r="E29" s="15">
        <v>8.0</v>
      </c>
      <c r="F29" s="15">
        <v>6.0</v>
      </c>
      <c r="G29" s="15">
        <v>8.0</v>
      </c>
      <c r="H29" s="15">
        <v>10.0</v>
      </c>
      <c r="I29" s="15">
        <v>10.0</v>
      </c>
      <c r="J29" s="15">
        <v>12.0</v>
      </c>
      <c r="K29" s="15">
        <v>14.0</v>
      </c>
      <c r="L29" s="15">
        <v>16.0</v>
      </c>
      <c r="M29" s="15">
        <v>14.0</v>
      </c>
      <c r="N29" s="15">
        <v>16.0</v>
      </c>
      <c r="O29" s="15">
        <v>21.0</v>
      </c>
      <c r="P29" s="15">
        <v>14.0</v>
      </c>
      <c r="Q29" s="15">
        <v>18.0</v>
      </c>
      <c r="R29" s="15">
        <v>24.0</v>
      </c>
      <c r="S29" s="15">
        <v>14.0</v>
      </c>
      <c r="T29" s="15">
        <v>18.0</v>
      </c>
      <c r="U29" s="15">
        <v>24.0</v>
      </c>
      <c r="V29" s="15">
        <v>18.0</v>
      </c>
      <c r="W29" s="15">
        <v>21.0</v>
      </c>
      <c r="X29" s="15">
        <v>27.0</v>
      </c>
      <c r="Y29" s="15">
        <v>30.0</v>
      </c>
      <c r="Z29" s="15">
        <v>24.0</v>
      </c>
      <c r="AA29" s="15">
        <v>32.0</v>
      </c>
      <c r="AB29" s="15">
        <v>40.0</v>
      </c>
      <c r="AC29" s="15">
        <v>52.0</v>
      </c>
      <c r="AD29" s="8">
        <v>120.0</v>
      </c>
    </row>
    <row r="30" ht="15.75" customHeight="1">
      <c r="A30" s="16" t="s">
        <v>51</v>
      </c>
      <c r="B30" s="17">
        <v>2.0</v>
      </c>
      <c r="C30" s="17">
        <v>2.0</v>
      </c>
      <c r="D30" s="17">
        <v>3.0</v>
      </c>
      <c r="E30" s="17">
        <v>3.0</v>
      </c>
      <c r="F30" s="17">
        <v>3.0</v>
      </c>
      <c r="G30" s="17">
        <v>3.0</v>
      </c>
      <c r="H30" s="17">
        <v>4.0</v>
      </c>
      <c r="I30" s="17">
        <v>4.0</v>
      </c>
      <c r="J30" s="17">
        <v>5.0</v>
      </c>
      <c r="K30" s="17">
        <v>5.0</v>
      </c>
      <c r="L30" s="17">
        <v>6.0</v>
      </c>
      <c r="M30" s="17">
        <v>5.0</v>
      </c>
      <c r="N30" s="17">
        <v>6.0</v>
      </c>
      <c r="O30" s="17">
        <v>8.0</v>
      </c>
      <c r="P30" s="17">
        <v>5.0</v>
      </c>
      <c r="Q30" s="17">
        <v>8.0</v>
      </c>
      <c r="R30" s="17">
        <v>10.0</v>
      </c>
      <c r="S30" s="17">
        <v>5.0</v>
      </c>
      <c r="T30" s="17">
        <v>8.0</v>
      </c>
      <c r="U30" s="17">
        <v>10.0</v>
      </c>
      <c r="V30" s="17">
        <v>8.0</v>
      </c>
      <c r="W30" s="17">
        <v>8.0</v>
      </c>
      <c r="X30" s="17">
        <v>10.0</v>
      </c>
      <c r="Y30" s="17">
        <v>12.0</v>
      </c>
      <c r="Z30" s="17">
        <v>10.0</v>
      </c>
      <c r="AA30" s="17">
        <v>12.0</v>
      </c>
      <c r="AB30" s="17">
        <v>16.0</v>
      </c>
      <c r="AC30" s="17">
        <v>20.0</v>
      </c>
      <c r="AD30" s="18">
        <v>15.0</v>
      </c>
    </row>
    <row r="31" ht="15.75" customHeight="1">
      <c r="A31" s="16" t="s">
        <v>52</v>
      </c>
      <c r="B31" s="17">
        <f>4*B28</f>
        <v>16</v>
      </c>
      <c r="C31" s="17">
        <f t="shared" ref="C31:R31" si="2">4*C29</f>
        <v>16</v>
      </c>
      <c r="D31" s="17">
        <f t="shared" si="2"/>
        <v>24</v>
      </c>
      <c r="E31" s="17">
        <f t="shared" si="2"/>
        <v>32</v>
      </c>
      <c r="F31" s="17">
        <f t="shared" si="2"/>
        <v>24</v>
      </c>
      <c r="G31" s="17">
        <f t="shared" si="2"/>
        <v>32</v>
      </c>
      <c r="H31" s="17">
        <f t="shared" si="2"/>
        <v>40</v>
      </c>
      <c r="I31" s="17">
        <f t="shared" si="2"/>
        <v>40</v>
      </c>
      <c r="J31" s="17">
        <f t="shared" si="2"/>
        <v>48</v>
      </c>
      <c r="K31" s="17">
        <f t="shared" si="2"/>
        <v>56</v>
      </c>
      <c r="L31" s="17">
        <f t="shared" si="2"/>
        <v>64</v>
      </c>
      <c r="M31" s="17">
        <f t="shared" si="2"/>
        <v>56</v>
      </c>
      <c r="N31" s="17">
        <f t="shared" si="2"/>
        <v>64</v>
      </c>
      <c r="O31" s="17">
        <f t="shared" si="2"/>
        <v>84</v>
      </c>
      <c r="P31" s="17">
        <f t="shared" si="2"/>
        <v>56</v>
      </c>
      <c r="Q31" s="17">
        <f t="shared" si="2"/>
        <v>72</v>
      </c>
      <c r="R31" s="17">
        <f t="shared" si="2"/>
        <v>96</v>
      </c>
      <c r="S31" s="17">
        <v>56.0</v>
      </c>
      <c r="T31" s="17">
        <v>72.0</v>
      </c>
      <c r="U31" s="17">
        <v>96.0</v>
      </c>
      <c r="V31" s="17">
        <f t="shared" ref="V31:AC31" si="3">4*V29</f>
        <v>72</v>
      </c>
      <c r="W31" s="17">
        <f t="shared" si="3"/>
        <v>84</v>
      </c>
      <c r="X31" s="17">
        <f t="shared" si="3"/>
        <v>108</v>
      </c>
      <c r="Y31" s="17">
        <f t="shared" si="3"/>
        <v>120</v>
      </c>
      <c r="Z31" s="17">
        <f t="shared" si="3"/>
        <v>96</v>
      </c>
      <c r="AA31" s="17">
        <f t="shared" si="3"/>
        <v>128</v>
      </c>
      <c r="AB31" s="17">
        <f t="shared" si="3"/>
        <v>160</v>
      </c>
      <c r="AC31" s="17">
        <f t="shared" si="3"/>
        <v>208</v>
      </c>
      <c r="AD31" s="8">
        <v>0.75</v>
      </c>
    </row>
    <row r="32" ht="15.75" customHeight="1">
      <c r="A32" s="16" t="s">
        <v>53</v>
      </c>
      <c r="B32" s="17">
        <v>8.0</v>
      </c>
      <c r="C32" s="17">
        <v>8.0</v>
      </c>
      <c r="D32" s="17">
        <v>12.0</v>
      </c>
      <c r="E32" s="17">
        <v>12.0</v>
      </c>
      <c r="F32" s="17">
        <v>12.0</v>
      </c>
      <c r="G32" s="17">
        <v>12.0</v>
      </c>
      <c r="H32" s="17">
        <v>16.0</v>
      </c>
      <c r="I32" s="17">
        <v>16.0</v>
      </c>
      <c r="J32" s="17">
        <v>20.0</v>
      </c>
      <c r="K32" s="17">
        <v>20.0</v>
      </c>
      <c r="L32" s="17">
        <v>24.0</v>
      </c>
      <c r="M32" s="17">
        <v>20.0</v>
      </c>
      <c r="N32" s="17">
        <v>42.0</v>
      </c>
      <c r="O32" s="17">
        <v>32.0</v>
      </c>
      <c r="P32" s="17">
        <v>20.0</v>
      </c>
      <c r="Q32" s="17">
        <v>32.0</v>
      </c>
      <c r="R32" s="17">
        <v>40.0</v>
      </c>
      <c r="S32" s="17">
        <v>20.0</v>
      </c>
      <c r="T32" s="17">
        <v>32.0</v>
      </c>
      <c r="U32" s="17">
        <v>40.0</v>
      </c>
      <c r="V32" s="17">
        <v>32.0</v>
      </c>
      <c r="W32" s="17">
        <v>32.0</v>
      </c>
      <c r="X32" s="17">
        <v>40.0</v>
      </c>
      <c r="Y32" s="17">
        <v>48.0</v>
      </c>
      <c r="Z32" s="17">
        <v>40.0</v>
      </c>
      <c r="AA32" s="17">
        <v>36.0</v>
      </c>
      <c r="AB32" s="17">
        <v>64.0</v>
      </c>
      <c r="AC32" s="17">
        <v>80.0</v>
      </c>
      <c r="AD32" s="8">
        <v>3.5</v>
      </c>
    </row>
    <row r="33" ht="15.75" customHeight="1">
      <c r="A33" s="16" t="s">
        <v>54</v>
      </c>
      <c r="B33" s="17"/>
      <c r="C33" s="17"/>
      <c r="D33" s="19"/>
      <c r="E33" s="19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8">
        <v>4.5</v>
      </c>
    </row>
    <row r="34" ht="15.75" customHeight="1">
      <c r="A34" s="16" t="s">
        <v>55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8">
        <v>5.0</v>
      </c>
    </row>
    <row r="35" ht="15.75" customHeight="1">
      <c r="A35" s="20" t="s">
        <v>56</v>
      </c>
      <c r="B35" s="21">
        <v>30.0</v>
      </c>
      <c r="C35" s="21">
        <v>30.0</v>
      </c>
      <c r="D35" s="21">
        <v>30.0</v>
      </c>
      <c r="E35" s="21">
        <v>60.0</v>
      </c>
      <c r="F35" s="21">
        <v>30.0</v>
      </c>
      <c r="G35" s="21">
        <v>60.0</v>
      </c>
      <c r="H35" s="21">
        <v>60.0</v>
      </c>
      <c r="I35" s="21">
        <v>60.0</v>
      </c>
      <c r="J35" s="21">
        <v>60.0</v>
      </c>
      <c r="K35" s="21">
        <v>60.0</v>
      </c>
      <c r="L35" s="21">
        <v>60.0</v>
      </c>
      <c r="M35" s="21">
        <v>60.0</v>
      </c>
      <c r="N35" s="21">
        <v>60.0</v>
      </c>
      <c r="O35" s="21">
        <v>90.0</v>
      </c>
      <c r="P35" s="21">
        <v>60.0</v>
      </c>
      <c r="Q35" s="21">
        <v>60.0</v>
      </c>
      <c r="R35" s="21">
        <v>90.0</v>
      </c>
      <c r="S35" s="21">
        <v>60.0</v>
      </c>
      <c r="T35" s="21">
        <v>60.0</v>
      </c>
      <c r="U35" s="21">
        <v>90.0</v>
      </c>
      <c r="V35" s="21">
        <v>60.0</v>
      </c>
      <c r="W35" s="21">
        <v>90.0</v>
      </c>
      <c r="X35" s="21">
        <v>90.0</v>
      </c>
      <c r="Y35" s="21">
        <v>120.0</v>
      </c>
      <c r="Z35" s="21">
        <v>100.0</v>
      </c>
      <c r="AA35" s="21">
        <v>150.0</v>
      </c>
      <c r="AB35" s="21">
        <v>150.0</v>
      </c>
      <c r="AC35" s="21">
        <v>200.0</v>
      </c>
      <c r="AD35" s="8">
        <v>1.25</v>
      </c>
    </row>
    <row r="36" ht="15.75" customHeight="1">
      <c r="A36" s="20" t="s">
        <v>57</v>
      </c>
      <c r="B36" s="21">
        <v>2.0</v>
      </c>
      <c r="C36" s="21">
        <v>2.0</v>
      </c>
      <c r="D36" s="21">
        <v>2.0</v>
      </c>
      <c r="E36" s="21">
        <v>4.0</v>
      </c>
      <c r="F36" s="21">
        <v>2.0</v>
      </c>
      <c r="G36" s="21">
        <v>4.0</v>
      </c>
      <c r="H36" s="21">
        <v>4.0</v>
      </c>
      <c r="I36" s="21">
        <v>4.0</v>
      </c>
      <c r="J36" s="21">
        <v>4.0</v>
      </c>
      <c r="K36" s="21">
        <v>4.0</v>
      </c>
      <c r="L36" s="21">
        <v>4.0</v>
      </c>
      <c r="M36" s="21">
        <v>4.0</v>
      </c>
      <c r="N36" s="21">
        <v>4.0</v>
      </c>
      <c r="O36" s="21">
        <v>6.0</v>
      </c>
      <c r="P36" s="21">
        <v>4.0</v>
      </c>
      <c r="Q36" s="21">
        <v>4.0</v>
      </c>
      <c r="R36" s="21">
        <v>6.0</v>
      </c>
      <c r="S36" s="21">
        <v>4.0</v>
      </c>
      <c r="T36" s="21">
        <v>4.0</v>
      </c>
      <c r="U36" s="21">
        <v>6.0</v>
      </c>
      <c r="V36" s="21">
        <v>4.0</v>
      </c>
      <c r="W36" s="21">
        <v>6.0</v>
      </c>
      <c r="X36" s="21">
        <v>6.0</v>
      </c>
      <c r="Y36" s="21">
        <v>8.0</v>
      </c>
      <c r="Z36" s="21">
        <v>4.0</v>
      </c>
      <c r="AA36" s="21">
        <v>6.0</v>
      </c>
      <c r="AB36" s="21">
        <v>6.0</v>
      </c>
      <c r="AC36" s="21">
        <v>8.0</v>
      </c>
      <c r="AD36" s="8">
        <v>2.0</v>
      </c>
    </row>
    <row r="37" ht="15.75" customHeight="1">
      <c r="A37" s="20" t="s">
        <v>58</v>
      </c>
      <c r="B37" s="7"/>
      <c r="C37" s="21">
        <v>1.0</v>
      </c>
      <c r="D37" s="21">
        <v>1.0</v>
      </c>
      <c r="E37" s="21">
        <v>1.0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8">
        <v>22.0</v>
      </c>
    </row>
    <row r="38" ht="15.75" customHeight="1">
      <c r="A38" s="20" t="s">
        <v>59</v>
      </c>
      <c r="B38" s="21">
        <v>1.0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8">
        <v>12.0</v>
      </c>
    </row>
    <row r="39" ht="15.75" customHeight="1">
      <c r="A39" s="20" t="s">
        <v>60</v>
      </c>
      <c r="B39" s="7"/>
      <c r="C39" s="7"/>
      <c r="D39" s="7"/>
      <c r="E39" s="7"/>
      <c r="F39" s="21">
        <v>1.0</v>
      </c>
      <c r="G39" s="21">
        <v>1.0</v>
      </c>
      <c r="H39" s="21">
        <v>1.0</v>
      </c>
      <c r="I39" s="21">
        <v>1.0</v>
      </c>
      <c r="J39" s="21">
        <v>1.0</v>
      </c>
      <c r="K39" s="21">
        <v>1.0</v>
      </c>
      <c r="L39" s="21">
        <v>1.0</v>
      </c>
      <c r="M39" s="21">
        <v>1.0</v>
      </c>
      <c r="N39" s="21">
        <v>1.0</v>
      </c>
      <c r="O39" s="21">
        <v>1.0</v>
      </c>
      <c r="P39" s="21">
        <v>1.0</v>
      </c>
      <c r="Q39" s="21">
        <v>1.0</v>
      </c>
      <c r="R39" s="21">
        <v>1.0</v>
      </c>
      <c r="S39" s="21">
        <v>1.0</v>
      </c>
      <c r="T39" s="21">
        <v>1.0</v>
      </c>
      <c r="U39" s="21">
        <v>1.0</v>
      </c>
      <c r="V39" s="21">
        <v>2.0</v>
      </c>
      <c r="W39" s="21">
        <v>5.0</v>
      </c>
      <c r="X39" s="21">
        <v>5.0</v>
      </c>
      <c r="Y39" s="21">
        <v>5.0</v>
      </c>
      <c r="Z39" s="21">
        <v>5.0</v>
      </c>
      <c r="AA39" s="21">
        <v>5.0</v>
      </c>
      <c r="AB39" s="21">
        <v>5.0</v>
      </c>
      <c r="AC39" s="21">
        <v>5.0</v>
      </c>
      <c r="AD39" s="8">
        <v>22.0</v>
      </c>
    </row>
    <row r="40" ht="15.75" customHeight="1">
      <c r="A40" s="20" t="s">
        <v>61</v>
      </c>
      <c r="B40" s="21">
        <v>1.0</v>
      </c>
      <c r="C40" s="21">
        <v>1.0</v>
      </c>
      <c r="D40" s="21">
        <v>1.0</v>
      </c>
      <c r="E40" s="21">
        <v>1.0</v>
      </c>
      <c r="F40" s="21">
        <v>1.0</v>
      </c>
      <c r="G40" s="21">
        <v>1.0</v>
      </c>
      <c r="H40" s="21">
        <v>1.0</v>
      </c>
      <c r="I40" s="21">
        <v>1.0</v>
      </c>
      <c r="J40" s="21">
        <v>1.0</v>
      </c>
      <c r="K40" s="21">
        <v>1.0</v>
      </c>
      <c r="L40" s="21">
        <v>1.0</v>
      </c>
      <c r="M40" s="21">
        <v>1.0</v>
      </c>
      <c r="N40" s="21">
        <v>1.0</v>
      </c>
      <c r="O40" s="21">
        <v>1.0</v>
      </c>
      <c r="P40" s="21">
        <v>1.0</v>
      </c>
      <c r="Q40" s="21">
        <v>1.0</v>
      </c>
      <c r="R40" s="21">
        <v>1.0</v>
      </c>
      <c r="S40" s="21">
        <v>1.0</v>
      </c>
      <c r="T40" s="21">
        <v>1.0</v>
      </c>
      <c r="U40" s="21">
        <v>1.0</v>
      </c>
      <c r="V40" s="21">
        <v>1.0</v>
      </c>
      <c r="W40" s="21">
        <v>2.0</v>
      </c>
      <c r="X40" s="21">
        <v>2.0</v>
      </c>
      <c r="Y40" s="21">
        <v>2.0</v>
      </c>
      <c r="Z40" s="21">
        <v>2.0</v>
      </c>
      <c r="AA40" s="21">
        <v>2.0</v>
      </c>
      <c r="AB40" s="21">
        <v>2.0</v>
      </c>
      <c r="AC40" s="21"/>
      <c r="AD40" s="8">
        <v>5.0</v>
      </c>
    </row>
    <row r="41" ht="15.75" customHeight="1">
      <c r="A41" s="20" t="s">
        <v>62</v>
      </c>
      <c r="B41" s="21">
        <v>1.0</v>
      </c>
      <c r="C41" s="21">
        <v>1.0</v>
      </c>
      <c r="D41" s="21">
        <v>1.0</v>
      </c>
      <c r="E41" s="21">
        <v>1.0</v>
      </c>
      <c r="F41" s="21">
        <v>1.0</v>
      </c>
      <c r="G41" s="21">
        <v>1.0</v>
      </c>
      <c r="H41" s="21">
        <v>1.0</v>
      </c>
      <c r="I41" s="21">
        <v>1.0</v>
      </c>
      <c r="J41" s="21">
        <v>1.0</v>
      </c>
      <c r="K41" s="21">
        <v>1.0</v>
      </c>
      <c r="L41" s="21">
        <v>1.0</v>
      </c>
      <c r="M41" s="21">
        <v>1.0</v>
      </c>
      <c r="N41" s="21">
        <v>1.0</v>
      </c>
      <c r="O41" s="21">
        <v>1.0</v>
      </c>
      <c r="P41" s="21">
        <v>1.0</v>
      </c>
      <c r="Q41" s="21">
        <v>1.0</v>
      </c>
      <c r="R41" s="21">
        <v>1.0</v>
      </c>
      <c r="S41" s="21">
        <v>1.0</v>
      </c>
      <c r="T41" s="21">
        <v>1.0</v>
      </c>
      <c r="U41" s="21">
        <v>1.0</v>
      </c>
      <c r="V41" s="21">
        <v>1.0</v>
      </c>
      <c r="W41" s="21">
        <v>2.0</v>
      </c>
      <c r="X41" s="21">
        <v>2.0</v>
      </c>
      <c r="Y41" s="21">
        <v>2.0</v>
      </c>
      <c r="Z41" s="21">
        <v>2.0</v>
      </c>
      <c r="AA41" s="21">
        <v>2.0</v>
      </c>
      <c r="AB41" s="21">
        <v>2.0</v>
      </c>
      <c r="AC41" s="21"/>
      <c r="AD41" s="8">
        <v>5.0</v>
      </c>
    </row>
    <row r="42" ht="15.75" customHeight="1">
      <c r="A42" s="20" t="s">
        <v>63</v>
      </c>
      <c r="B42" s="21">
        <v>1.0</v>
      </c>
      <c r="C42" s="21">
        <v>1.0</v>
      </c>
      <c r="D42" s="21">
        <v>1.0</v>
      </c>
      <c r="E42" s="21">
        <v>2.0</v>
      </c>
      <c r="F42" s="21">
        <v>1.0</v>
      </c>
      <c r="G42" s="21">
        <v>2.0</v>
      </c>
      <c r="H42" s="21">
        <v>2.0</v>
      </c>
      <c r="I42" s="21">
        <v>2.0</v>
      </c>
      <c r="J42" s="21">
        <v>2.0</v>
      </c>
      <c r="K42" s="21">
        <v>2.0</v>
      </c>
      <c r="L42" s="21">
        <v>2.0</v>
      </c>
      <c r="M42" s="21">
        <v>2.0</v>
      </c>
      <c r="N42" s="21">
        <v>2.0</v>
      </c>
      <c r="O42" s="21">
        <v>2.0</v>
      </c>
      <c r="P42" s="21">
        <v>2.0</v>
      </c>
      <c r="Q42" s="21">
        <v>2.0</v>
      </c>
      <c r="R42" s="21">
        <v>2.0</v>
      </c>
      <c r="S42" s="21">
        <v>3.0</v>
      </c>
      <c r="T42" s="21">
        <v>2.0</v>
      </c>
      <c r="U42" s="21">
        <v>2.0</v>
      </c>
      <c r="V42" s="21">
        <v>2.0</v>
      </c>
      <c r="W42" s="21">
        <v>3.0</v>
      </c>
      <c r="X42" s="21">
        <v>3.0</v>
      </c>
      <c r="Y42" s="21">
        <v>3.0</v>
      </c>
      <c r="Z42" s="21">
        <v>3.0</v>
      </c>
      <c r="AA42" s="21">
        <v>3.0</v>
      </c>
      <c r="AB42" s="21">
        <v>3.0</v>
      </c>
      <c r="AC42" s="21"/>
      <c r="AD42" s="8">
        <v>27.0</v>
      </c>
    </row>
    <row r="43" ht="15.75" customHeight="1">
      <c r="A43" s="20" t="s">
        <v>64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21">
        <v>1.0</v>
      </c>
      <c r="M43" s="21">
        <v>1.0</v>
      </c>
      <c r="N43" s="21">
        <v>1.0</v>
      </c>
      <c r="O43" s="21">
        <v>1.0</v>
      </c>
      <c r="P43" s="21">
        <v>1.0</v>
      </c>
      <c r="Q43" s="21">
        <v>1.0</v>
      </c>
      <c r="R43" s="21">
        <v>1.0</v>
      </c>
      <c r="S43" s="21">
        <v>1.0</v>
      </c>
      <c r="T43" s="21">
        <v>1.0</v>
      </c>
      <c r="U43" s="21">
        <v>1.0</v>
      </c>
      <c r="V43" s="21">
        <v>1.0</v>
      </c>
      <c r="W43" s="21">
        <v>1.0</v>
      </c>
      <c r="X43" s="21">
        <v>1.0</v>
      </c>
      <c r="Y43" s="21">
        <v>1.0</v>
      </c>
      <c r="Z43" s="21">
        <v>1.0</v>
      </c>
      <c r="AA43" s="21">
        <v>1.0</v>
      </c>
      <c r="AB43" s="21">
        <v>1.0</v>
      </c>
      <c r="AC43" s="21"/>
      <c r="AD43" s="8">
        <v>45.0</v>
      </c>
    </row>
    <row r="44" ht="15.75" customHeight="1">
      <c r="A44" s="20" t="s">
        <v>65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21">
        <v>2.0</v>
      </c>
      <c r="M44" s="21">
        <v>2.0</v>
      </c>
      <c r="N44" s="21">
        <v>2.0</v>
      </c>
      <c r="O44" s="21">
        <v>2.0</v>
      </c>
      <c r="P44" s="21">
        <v>2.0</v>
      </c>
      <c r="Q44" s="21">
        <v>2.0</v>
      </c>
      <c r="R44" s="21">
        <v>2.0</v>
      </c>
      <c r="S44" s="21">
        <v>2.0</v>
      </c>
      <c r="T44" s="21">
        <v>2.0</v>
      </c>
      <c r="U44" s="21">
        <v>2.0</v>
      </c>
      <c r="V44" s="21">
        <v>2.0</v>
      </c>
      <c r="W44" s="21">
        <v>2.0</v>
      </c>
      <c r="X44" s="21">
        <v>2.0</v>
      </c>
      <c r="Y44" s="21">
        <v>2.0</v>
      </c>
      <c r="Z44" s="21">
        <v>2.0</v>
      </c>
      <c r="AA44" s="21">
        <v>2.0</v>
      </c>
      <c r="AB44" s="21">
        <v>2.0</v>
      </c>
      <c r="AC44" s="21"/>
      <c r="AD44" s="8">
        <v>9.0</v>
      </c>
    </row>
    <row r="45" ht="15.75" customHeight="1">
      <c r="A45" s="20" t="s">
        <v>66</v>
      </c>
      <c r="B45" s="21">
        <v>1.0</v>
      </c>
      <c r="C45" s="21">
        <v>1.0</v>
      </c>
      <c r="D45" s="21">
        <v>1.0</v>
      </c>
      <c r="E45" s="21">
        <v>1.0</v>
      </c>
      <c r="F45" s="21">
        <v>1.0</v>
      </c>
      <c r="G45" s="21">
        <v>1.0</v>
      </c>
      <c r="H45" s="21">
        <v>1.0</v>
      </c>
      <c r="I45" s="21">
        <v>1.0</v>
      </c>
      <c r="J45" s="21">
        <v>1.0</v>
      </c>
      <c r="K45" s="21">
        <v>1.0</v>
      </c>
      <c r="L45" s="7">
        <v>1.0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8">
        <v>35.0</v>
      </c>
    </row>
    <row r="46" ht="15.75" customHeight="1">
      <c r="A46" s="20" t="s">
        <v>67</v>
      </c>
      <c r="B46" s="7"/>
      <c r="C46" s="21">
        <v>2.0</v>
      </c>
      <c r="D46" s="22"/>
      <c r="E46" s="22"/>
      <c r="F46" s="7"/>
      <c r="G46" s="7"/>
      <c r="H46" s="21">
        <v>2.0</v>
      </c>
      <c r="I46" s="21">
        <v>2.0</v>
      </c>
      <c r="J46" s="21">
        <v>2.0</v>
      </c>
      <c r="K46" s="21">
        <v>2.0</v>
      </c>
      <c r="L46" s="7">
        <v>2.0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8">
        <v>7.0</v>
      </c>
    </row>
    <row r="47" ht="15.75" customHeight="1">
      <c r="A47" s="20" t="s">
        <v>68</v>
      </c>
      <c r="B47" s="21">
        <v>2.0</v>
      </c>
      <c r="C47" s="7"/>
      <c r="D47" s="21">
        <v>2.0</v>
      </c>
      <c r="E47" s="21">
        <v>2.0</v>
      </c>
      <c r="F47" s="21">
        <v>2.0</v>
      </c>
      <c r="G47" s="21">
        <v>2.0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8">
        <v>7.0</v>
      </c>
    </row>
    <row r="48" ht="15.75" customHeight="1">
      <c r="A48" s="20" t="s">
        <v>69</v>
      </c>
      <c r="B48" s="21">
        <v>2.0</v>
      </c>
      <c r="C48" s="21">
        <v>2.0</v>
      </c>
      <c r="D48" s="21">
        <v>2.0</v>
      </c>
      <c r="E48" s="21">
        <v>4.0</v>
      </c>
      <c r="F48" s="21">
        <v>2.0</v>
      </c>
      <c r="G48" s="21">
        <v>4.0</v>
      </c>
      <c r="H48" s="21">
        <v>4.0</v>
      </c>
      <c r="I48" s="21">
        <v>4.0</v>
      </c>
      <c r="J48" s="21">
        <v>4.0</v>
      </c>
      <c r="K48" s="21">
        <v>4.0</v>
      </c>
      <c r="L48" s="21">
        <v>4.0</v>
      </c>
      <c r="M48" s="21">
        <v>4.0</v>
      </c>
      <c r="N48" s="21">
        <v>4.0</v>
      </c>
      <c r="O48" s="21">
        <v>6.0</v>
      </c>
      <c r="P48" s="21">
        <v>4.0</v>
      </c>
      <c r="Q48" s="21">
        <v>4.0</v>
      </c>
      <c r="R48" s="21">
        <v>6.0</v>
      </c>
      <c r="S48" s="21">
        <v>4.0</v>
      </c>
      <c r="T48" s="21">
        <v>4.0</v>
      </c>
      <c r="U48" s="21">
        <v>6.0</v>
      </c>
      <c r="V48" s="21">
        <v>4.0</v>
      </c>
      <c r="W48" s="21">
        <v>6.0</v>
      </c>
      <c r="X48" s="21">
        <v>6.0</v>
      </c>
      <c r="Y48" s="21">
        <v>8.0</v>
      </c>
      <c r="Z48" s="21">
        <v>4.0</v>
      </c>
      <c r="AA48" s="21">
        <v>6.0</v>
      </c>
      <c r="AB48" s="21">
        <v>6.0</v>
      </c>
      <c r="AC48" s="21">
        <v>8.0</v>
      </c>
      <c r="AD48" s="8">
        <v>5.0</v>
      </c>
    </row>
    <row r="49" ht="15.75" customHeight="1">
      <c r="A49" s="20" t="s">
        <v>70</v>
      </c>
      <c r="B49" s="21">
        <v>2.0</v>
      </c>
      <c r="C49" s="21">
        <v>2.0</v>
      </c>
      <c r="D49" s="21">
        <v>2.0</v>
      </c>
      <c r="E49" s="21">
        <v>4.0</v>
      </c>
      <c r="F49" s="21">
        <v>2.0</v>
      </c>
      <c r="G49" s="21">
        <v>4.0</v>
      </c>
      <c r="H49" s="21">
        <v>4.0</v>
      </c>
      <c r="I49" s="21">
        <v>4.0</v>
      </c>
      <c r="J49" s="21">
        <v>4.0</v>
      </c>
      <c r="K49" s="21">
        <v>4.0</v>
      </c>
      <c r="L49" s="21">
        <v>4.0</v>
      </c>
      <c r="M49" s="21">
        <v>4.0</v>
      </c>
      <c r="N49" s="21">
        <v>4.0</v>
      </c>
      <c r="O49" s="21">
        <v>6.0</v>
      </c>
      <c r="P49" s="21">
        <v>4.0</v>
      </c>
      <c r="Q49" s="21">
        <v>4.0</v>
      </c>
      <c r="R49" s="21">
        <v>6.0</v>
      </c>
      <c r="S49" s="21">
        <v>4.0</v>
      </c>
      <c r="T49" s="21">
        <v>4.0</v>
      </c>
      <c r="U49" s="21">
        <v>6.0</v>
      </c>
      <c r="V49" s="21">
        <v>4.0</v>
      </c>
      <c r="W49" s="21">
        <v>6.0</v>
      </c>
      <c r="X49" s="21">
        <v>6.0</v>
      </c>
      <c r="Y49" s="21">
        <v>8.0</v>
      </c>
      <c r="Z49" s="21">
        <v>4.0</v>
      </c>
      <c r="AA49" s="21">
        <v>6.0</v>
      </c>
      <c r="AB49" s="21">
        <v>6.0</v>
      </c>
      <c r="AC49" s="21">
        <v>8.0</v>
      </c>
      <c r="AD49" s="8">
        <v>5.0</v>
      </c>
    </row>
    <row r="50" ht="15.75" customHeight="1">
      <c r="A50" s="20" t="s">
        <v>71</v>
      </c>
      <c r="B50" s="21">
        <v>1.0</v>
      </c>
      <c r="C50" s="21">
        <v>1.0</v>
      </c>
      <c r="D50" s="21">
        <v>1.0</v>
      </c>
      <c r="E50" s="21">
        <v>2.0</v>
      </c>
      <c r="F50" s="21">
        <v>1.0</v>
      </c>
      <c r="G50" s="21">
        <v>2.0</v>
      </c>
      <c r="H50" s="21">
        <v>2.0</v>
      </c>
      <c r="I50" s="21">
        <v>2.0</v>
      </c>
      <c r="J50" s="21">
        <v>2.0</v>
      </c>
      <c r="K50" s="21">
        <v>2.0</v>
      </c>
      <c r="L50" s="21">
        <v>2.0</v>
      </c>
      <c r="M50" s="21">
        <v>2.0</v>
      </c>
      <c r="N50" s="21">
        <v>2.0</v>
      </c>
      <c r="O50" s="21">
        <v>3.0</v>
      </c>
      <c r="P50" s="21">
        <v>2.0</v>
      </c>
      <c r="Q50" s="21">
        <v>2.0</v>
      </c>
      <c r="R50" s="21">
        <v>3.0</v>
      </c>
      <c r="S50" s="21">
        <v>2.0</v>
      </c>
      <c r="T50" s="21">
        <v>2.0</v>
      </c>
      <c r="U50" s="21">
        <v>3.0</v>
      </c>
      <c r="V50" s="21">
        <v>2.0</v>
      </c>
      <c r="W50" s="21">
        <v>3.0</v>
      </c>
      <c r="X50" s="21">
        <v>3.0</v>
      </c>
      <c r="Y50" s="21">
        <v>4.0</v>
      </c>
      <c r="Z50" s="21">
        <v>2.0</v>
      </c>
      <c r="AA50" s="21">
        <v>3.0</v>
      </c>
      <c r="AB50" s="21">
        <v>3.0</v>
      </c>
      <c r="AC50" s="21">
        <v>4.0</v>
      </c>
      <c r="AD50" s="8">
        <v>15.0</v>
      </c>
    </row>
    <row r="51" ht="15.75" customHeight="1">
      <c r="A51" s="20" t="s">
        <v>72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21">
        <v>1.0</v>
      </c>
      <c r="W51" s="21">
        <v>1.0</v>
      </c>
      <c r="X51" s="21">
        <v>1.0</v>
      </c>
      <c r="Y51" s="21">
        <v>1.0</v>
      </c>
      <c r="Z51" s="21">
        <v>2.0</v>
      </c>
      <c r="AA51" s="21">
        <v>2.0</v>
      </c>
      <c r="AB51" s="21">
        <v>2.0</v>
      </c>
      <c r="AC51" s="21">
        <v>2.0</v>
      </c>
      <c r="AD51" s="8">
        <v>35.0</v>
      </c>
    </row>
    <row r="52" ht="15.75" customHeight="1">
      <c r="A52" s="20" t="s">
        <v>73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21"/>
      <c r="AA52" s="21"/>
      <c r="AB52" s="21"/>
      <c r="AC52" s="21"/>
      <c r="AD52" s="8">
        <v>25.0</v>
      </c>
    </row>
    <row r="53" ht="15.75" customHeight="1">
      <c r="A53" s="20" t="s">
        <v>74</v>
      </c>
      <c r="B53" s="7"/>
      <c r="C53" s="7"/>
      <c r="D53" s="7"/>
      <c r="E53" s="7"/>
      <c r="F53" s="7"/>
      <c r="G53" s="7"/>
      <c r="H53" s="7"/>
      <c r="I53" s="21">
        <v>1.0</v>
      </c>
      <c r="J53" s="21">
        <v>1.0</v>
      </c>
      <c r="K53" s="21">
        <v>1.0</v>
      </c>
      <c r="L53" s="21">
        <v>1.0</v>
      </c>
      <c r="M53" s="21">
        <v>1.0</v>
      </c>
      <c r="N53" s="21">
        <v>1.0</v>
      </c>
      <c r="O53" s="21">
        <v>1.0</v>
      </c>
      <c r="P53" s="21">
        <v>1.0</v>
      </c>
      <c r="Q53" s="21">
        <v>1.0</v>
      </c>
      <c r="R53" s="21">
        <v>1.0</v>
      </c>
      <c r="S53" s="21">
        <v>1.0</v>
      </c>
      <c r="T53" s="21">
        <v>1.0</v>
      </c>
      <c r="U53" s="21">
        <v>1.0</v>
      </c>
      <c r="V53" s="21">
        <v>5.0</v>
      </c>
      <c r="W53" s="21">
        <v>5.0</v>
      </c>
      <c r="X53" s="21">
        <v>5.0</v>
      </c>
      <c r="Y53" s="21">
        <v>5.0</v>
      </c>
      <c r="Z53" s="21">
        <v>5.0</v>
      </c>
      <c r="AA53" s="21">
        <v>5.0</v>
      </c>
      <c r="AB53" s="21">
        <v>5.0</v>
      </c>
      <c r="AC53" s="21">
        <v>5.0</v>
      </c>
      <c r="AD53" s="8">
        <v>2.5</v>
      </c>
    </row>
    <row r="54" ht="15.75" customHeight="1">
      <c r="A54" s="20" t="s">
        <v>75</v>
      </c>
      <c r="B54" s="7"/>
      <c r="C54" s="7"/>
      <c r="D54" s="7"/>
      <c r="E54" s="7"/>
      <c r="F54" s="7"/>
      <c r="G54" s="7"/>
      <c r="H54" s="7"/>
      <c r="I54" s="21">
        <v>2.0</v>
      </c>
      <c r="J54" s="21">
        <v>2.0</v>
      </c>
      <c r="K54" s="21">
        <v>2.0</v>
      </c>
      <c r="L54" s="21">
        <v>2.0</v>
      </c>
      <c r="M54" s="21">
        <v>2.0</v>
      </c>
      <c r="N54" s="21">
        <v>2.0</v>
      </c>
      <c r="O54" s="21">
        <v>2.0</v>
      </c>
      <c r="P54" s="21">
        <v>2.0</v>
      </c>
      <c r="Q54" s="21">
        <v>2.0</v>
      </c>
      <c r="R54" s="21">
        <v>2.0</v>
      </c>
      <c r="S54" s="21">
        <v>2.0</v>
      </c>
      <c r="T54" s="21">
        <v>2.0</v>
      </c>
      <c r="U54" s="21">
        <v>2.0</v>
      </c>
      <c r="V54" s="21">
        <v>10.0</v>
      </c>
      <c r="W54" s="21">
        <v>10.0</v>
      </c>
      <c r="X54" s="21">
        <v>10.0</v>
      </c>
      <c r="Y54" s="21">
        <v>10.0</v>
      </c>
      <c r="Z54" s="21">
        <v>12.0</v>
      </c>
      <c r="AA54" s="21">
        <v>12.0</v>
      </c>
      <c r="AB54" s="21">
        <v>12.0</v>
      </c>
      <c r="AC54" s="21">
        <v>12.0</v>
      </c>
      <c r="AD54" s="8">
        <v>2.0</v>
      </c>
    </row>
    <row r="55" ht="15.75" customHeight="1">
      <c r="A55" s="20" t="s">
        <v>76</v>
      </c>
      <c r="B55" s="7"/>
      <c r="C55" s="21">
        <v>3.0</v>
      </c>
      <c r="D55" s="21">
        <v>3.0</v>
      </c>
      <c r="E55" s="21">
        <v>3.0</v>
      </c>
      <c r="F55" s="21">
        <v>5.0</v>
      </c>
      <c r="G55" s="21">
        <v>5.0</v>
      </c>
      <c r="H55" s="21">
        <v>5.0</v>
      </c>
      <c r="I55" s="21">
        <v>5.0</v>
      </c>
      <c r="J55" s="21">
        <v>5.0</v>
      </c>
      <c r="K55" s="21">
        <v>5.0</v>
      </c>
      <c r="L55" s="21">
        <v>5.0</v>
      </c>
      <c r="M55" s="21">
        <v>5.0</v>
      </c>
      <c r="N55" s="21">
        <v>5.0</v>
      </c>
      <c r="O55" s="21">
        <v>5.0</v>
      </c>
      <c r="P55" s="21">
        <v>6.0</v>
      </c>
      <c r="Q55" s="21">
        <v>6.0</v>
      </c>
      <c r="R55" s="21">
        <v>6.0</v>
      </c>
      <c r="S55" s="21">
        <v>6.0</v>
      </c>
      <c r="T55" s="21">
        <v>6.0</v>
      </c>
      <c r="U55" s="21">
        <v>6.0</v>
      </c>
      <c r="V55" s="21">
        <v>3.0</v>
      </c>
      <c r="W55" s="21">
        <v>3.0</v>
      </c>
      <c r="X55" s="21">
        <v>3.0</v>
      </c>
      <c r="Y55" s="21">
        <v>3.0</v>
      </c>
      <c r="Z55" s="21">
        <v>4.0</v>
      </c>
      <c r="AA55" s="21">
        <v>4.0</v>
      </c>
      <c r="AB55" s="21">
        <v>4.0</v>
      </c>
      <c r="AC55" s="21">
        <v>4.0</v>
      </c>
      <c r="AD55" s="8">
        <v>1.8</v>
      </c>
    </row>
    <row r="56" ht="15.75" customHeight="1">
      <c r="A56" s="20" t="s">
        <v>77</v>
      </c>
      <c r="B56" s="7"/>
      <c r="C56" s="21">
        <v>6.0</v>
      </c>
      <c r="D56" s="21">
        <v>6.0</v>
      </c>
      <c r="E56" s="21">
        <v>6.0</v>
      </c>
      <c r="F56" s="21">
        <v>8.0</v>
      </c>
      <c r="G56" s="21">
        <v>8.0</v>
      </c>
      <c r="H56" s="21">
        <v>8.0</v>
      </c>
      <c r="I56" s="21">
        <v>8.0</v>
      </c>
      <c r="J56" s="21">
        <v>8.0</v>
      </c>
      <c r="K56" s="21">
        <v>8.0</v>
      </c>
      <c r="L56" s="21">
        <v>8.0</v>
      </c>
      <c r="M56" s="21">
        <v>8.0</v>
      </c>
      <c r="N56" s="21">
        <v>8.0</v>
      </c>
      <c r="O56" s="21">
        <v>8.0</v>
      </c>
      <c r="P56" s="21">
        <v>10.0</v>
      </c>
      <c r="Q56" s="21">
        <v>10.0</v>
      </c>
      <c r="R56" s="21">
        <v>10.0</v>
      </c>
      <c r="S56" s="21">
        <v>10.0</v>
      </c>
      <c r="T56" s="21">
        <v>10.0</v>
      </c>
      <c r="U56" s="21">
        <v>10.0</v>
      </c>
      <c r="V56" s="21">
        <v>6.0</v>
      </c>
      <c r="W56" s="21">
        <v>6.0</v>
      </c>
      <c r="X56" s="21">
        <v>6.0</v>
      </c>
      <c r="Y56" s="21">
        <v>6.0</v>
      </c>
      <c r="Z56" s="21">
        <v>8.0</v>
      </c>
      <c r="AA56" s="21">
        <v>8.0</v>
      </c>
      <c r="AB56" s="21">
        <v>8.0</v>
      </c>
      <c r="AC56" s="21">
        <v>8.0</v>
      </c>
      <c r="AD56" s="8">
        <v>1.0</v>
      </c>
    </row>
    <row r="57" ht="15.75" customHeight="1">
      <c r="A57" s="20" t="s">
        <v>78</v>
      </c>
      <c r="B57" s="21">
        <v>1.0</v>
      </c>
      <c r="C57" s="21">
        <v>1.0</v>
      </c>
      <c r="D57" s="21">
        <v>1.0</v>
      </c>
      <c r="E57" s="21">
        <v>1.0</v>
      </c>
      <c r="F57" s="21">
        <v>1.0</v>
      </c>
      <c r="G57" s="21">
        <v>1.0</v>
      </c>
      <c r="H57" s="21">
        <v>1.0</v>
      </c>
      <c r="I57" s="21">
        <v>1.0</v>
      </c>
      <c r="J57" s="21">
        <v>1.0</v>
      </c>
      <c r="K57" s="21">
        <v>1.0</v>
      </c>
      <c r="L57" s="21">
        <v>1.0</v>
      </c>
      <c r="M57" s="21">
        <v>1.0</v>
      </c>
      <c r="N57" s="21">
        <v>1.0</v>
      </c>
      <c r="O57" s="21">
        <v>1.0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8">
        <v>15.0</v>
      </c>
    </row>
    <row r="58" ht="15.75" customHeight="1">
      <c r="A58" s="20" t="s">
        <v>79</v>
      </c>
      <c r="B58" s="7"/>
      <c r="C58" s="7"/>
      <c r="D58" s="7"/>
      <c r="E58" s="7"/>
      <c r="F58" s="22"/>
      <c r="G58" s="7"/>
      <c r="H58" s="7"/>
      <c r="I58" s="7"/>
      <c r="J58" s="7"/>
      <c r="K58" s="7"/>
      <c r="L58" s="7"/>
      <c r="M58" s="7"/>
      <c r="N58" s="7"/>
      <c r="O58" s="7"/>
      <c r="P58" s="21">
        <v>1.0</v>
      </c>
      <c r="Q58" s="21">
        <v>1.0</v>
      </c>
      <c r="R58" s="21">
        <v>1.0</v>
      </c>
      <c r="S58" s="21">
        <v>1.0</v>
      </c>
      <c r="T58" s="21">
        <v>1.0</v>
      </c>
      <c r="U58" s="21">
        <v>1.0</v>
      </c>
      <c r="V58" s="7"/>
      <c r="W58" s="7"/>
      <c r="X58" s="7"/>
      <c r="Y58" s="7"/>
      <c r="Z58" s="7"/>
      <c r="AA58" s="7"/>
      <c r="AB58" s="7"/>
      <c r="AC58" s="7"/>
      <c r="AD58" s="8">
        <v>65.0</v>
      </c>
    </row>
    <row r="59" ht="15.75" customHeight="1">
      <c r="A59" s="20" t="s">
        <v>80</v>
      </c>
      <c r="B59" s="7"/>
      <c r="C59" s="7"/>
      <c r="D59" s="7"/>
      <c r="E59" s="7"/>
      <c r="F59" s="22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21"/>
      <c r="S59" s="21"/>
      <c r="T59" s="21"/>
      <c r="U59" s="21"/>
      <c r="V59" s="21">
        <v>1.0</v>
      </c>
      <c r="W59" s="21">
        <v>1.0</v>
      </c>
      <c r="X59" s="21">
        <v>1.0</v>
      </c>
      <c r="Y59" s="21">
        <v>1.0</v>
      </c>
      <c r="Z59" s="21">
        <v>2.0</v>
      </c>
      <c r="AA59" s="21">
        <v>2.0</v>
      </c>
      <c r="AB59" s="21">
        <v>2.0</v>
      </c>
      <c r="AC59" s="21">
        <v>2.0</v>
      </c>
      <c r="AD59" s="8">
        <v>85.0</v>
      </c>
    </row>
    <row r="60" ht="15.75" customHeight="1">
      <c r="A60" s="20" t="s">
        <v>81</v>
      </c>
      <c r="B60" s="7"/>
      <c r="C60" s="7"/>
      <c r="D60" s="7"/>
      <c r="E60" s="7"/>
      <c r="F60" s="22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8">
        <v>120.0</v>
      </c>
    </row>
    <row r="61" ht="15.75" customHeight="1">
      <c r="A61" s="20" t="s">
        <v>82</v>
      </c>
      <c r="B61" s="21">
        <v>1.0</v>
      </c>
      <c r="C61" s="21">
        <v>1.0</v>
      </c>
      <c r="D61" s="21">
        <v>1.0</v>
      </c>
      <c r="E61" s="21">
        <v>1.0</v>
      </c>
      <c r="F61" s="21">
        <v>2.0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21"/>
      <c r="S61" s="21"/>
      <c r="T61" s="21"/>
      <c r="U61" s="21"/>
      <c r="V61" s="7"/>
      <c r="W61" s="7"/>
      <c r="X61" s="7"/>
      <c r="Y61" s="7"/>
      <c r="Z61" s="7"/>
      <c r="AA61" s="7"/>
      <c r="AB61" s="7"/>
      <c r="AC61" s="7"/>
      <c r="AD61" s="8">
        <v>4.5</v>
      </c>
    </row>
    <row r="62" ht="15.75" customHeight="1">
      <c r="A62" s="20" t="s">
        <v>83</v>
      </c>
      <c r="B62" s="7"/>
      <c r="C62" s="7"/>
      <c r="D62" s="7"/>
      <c r="E62" s="7"/>
      <c r="F62" s="22"/>
      <c r="G62" s="21">
        <v>2.0</v>
      </c>
      <c r="H62" s="21">
        <v>2.0</v>
      </c>
      <c r="I62" s="21">
        <v>2.0</v>
      </c>
      <c r="J62" s="21">
        <v>2.0</v>
      </c>
      <c r="K62" s="7"/>
      <c r="L62" s="7"/>
      <c r="M62" s="7"/>
      <c r="N62" s="7"/>
      <c r="O62" s="7"/>
      <c r="P62" s="7"/>
      <c r="Q62" s="7"/>
      <c r="R62" s="21"/>
      <c r="S62" s="21"/>
      <c r="T62" s="21"/>
      <c r="U62" s="21"/>
      <c r="V62" s="7"/>
      <c r="W62" s="7"/>
      <c r="X62" s="7"/>
      <c r="Y62" s="7"/>
      <c r="Z62" s="7"/>
      <c r="AA62" s="7"/>
      <c r="AB62" s="7"/>
      <c r="AC62" s="7"/>
      <c r="AD62" s="8">
        <v>6.0</v>
      </c>
    </row>
    <row r="63" ht="15.75" customHeight="1">
      <c r="A63" s="20" t="s">
        <v>84</v>
      </c>
      <c r="B63" s="7"/>
      <c r="C63" s="7"/>
      <c r="D63" s="7"/>
      <c r="E63" s="7"/>
      <c r="F63" s="22"/>
      <c r="G63" s="7"/>
      <c r="H63" s="7"/>
      <c r="I63" s="7"/>
      <c r="J63" s="7"/>
      <c r="K63" s="21">
        <v>2.0</v>
      </c>
      <c r="L63" s="21">
        <v>2.0</v>
      </c>
      <c r="M63" s="21">
        <v>2.0</v>
      </c>
      <c r="N63" s="21">
        <v>2.0</v>
      </c>
      <c r="O63" s="21">
        <v>2.0</v>
      </c>
      <c r="P63" s="21">
        <v>4.0</v>
      </c>
      <c r="Q63" s="21">
        <v>4.0</v>
      </c>
      <c r="R63" s="21">
        <v>4.0</v>
      </c>
      <c r="S63" s="21">
        <v>4.0</v>
      </c>
      <c r="T63" s="21">
        <v>4.0</v>
      </c>
      <c r="U63" s="21">
        <v>4.0</v>
      </c>
      <c r="V63" s="7"/>
      <c r="W63" s="7"/>
      <c r="X63" s="7"/>
      <c r="Y63" s="7"/>
      <c r="Z63" s="7"/>
      <c r="AA63" s="7"/>
      <c r="AB63" s="7"/>
      <c r="AC63" s="7"/>
      <c r="AD63" s="8">
        <v>8.0</v>
      </c>
    </row>
    <row r="64" ht="15.75" customHeight="1">
      <c r="A64" s="20" t="s">
        <v>85</v>
      </c>
      <c r="B64" s="7"/>
      <c r="C64" s="7"/>
      <c r="D64" s="7"/>
      <c r="E64" s="7"/>
      <c r="F64" s="22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21">
        <v>4.0</v>
      </c>
      <c r="W64" s="21">
        <v>4.0</v>
      </c>
      <c r="X64" s="21">
        <v>4.0</v>
      </c>
      <c r="Y64" s="21">
        <v>4.0</v>
      </c>
      <c r="Z64" s="21">
        <v>12.0</v>
      </c>
      <c r="AA64" s="21">
        <v>12.0</v>
      </c>
      <c r="AB64" s="21">
        <v>12.0</v>
      </c>
      <c r="AC64" s="21"/>
      <c r="AD64" s="8">
        <v>12.0</v>
      </c>
    </row>
    <row r="65" ht="15.75" customHeight="1">
      <c r="A65" s="20" t="s">
        <v>86</v>
      </c>
      <c r="B65" s="21">
        <v>4.0</v>
      </c>
      <c r="C65" s="21">
        <v>4.0</v>
      </c>
      <c r="D65" s="21">
        <v>4.0</v>
      </c>
      <c r="E65" s="21">
        <v>4.0</v>
      </c>
      <c r="F65" s="21">
        <v>4.0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21"/>
      <c r="AA65" s="21"/>
      <c r="AB65" s="21"/>
      <c r="AC65" s="21"/>
      <c r="AD65" s="8">
        <v>1.2</v>
      </c>
    </row>
    <row r="66" ht="15.75" customHeight="1">
      <c r="A66" s="20" t="s">
        <v>87</v>
      </c>
      <c r="B66" s="7"/>
      <c r="C66" s="7"/>
      <c r="D66" s="7"/>
      <c r="E66" s="7"/>
      <c r="F66" s="22"/>
      <c r="G66" s="21">
        <v>4.0</v>
      </c>
      <c r="H66" s="21">
        <v>4.0</v>
      </c>
      <c r="I66" s="21">
        <v>4.0</v>
      </c>
      <c r="J66" s="21">
        <v>4.0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21"/>
      <c r="AA66" s="21"/>
      <c r="AB66" s="21"/>
      <c r="AC66" s="21"/>
      <c r="AD66" s="8">
        <v>1.6</v>
      </c>
    </row>
    <row r="67" ht="15.75" customHeight="1">
      <c r="A67" s="20" t="s">
        <v>88</v>
      </c>
      <c r="B67" s="7"/>
      <c r="C67" s="7"/>
      <c r="D67" s="7"/>
      <c r="E67" s="7"/>
      <c r="F67" s="22"/>
      <c r="G67" s="7"/>
      <c r="H67" s="7"/>
      <c r="I67" s="7"/>
      <c r="J67" s="7"/>
      <c r="K67" s="21">
        <v>4.0</v>
      </c>
      <c r="L67" s="21">
        <v>4.0</v>
      </c>
      <c r="M67" s="21">
        <v>4.0</v>
      </c>
      <c r="N67" s="21">
        <v>4.0</v>
      </c>
      <c r="O67" s="21">
        <v>4.0</v>
      </c>
      <c r="P67" s="21">
        <v>8.0</v>
      </c>
      <c r="Q67" s="21">
        <v>8.0</v>
      </c>
      <c r="R67" s="21">
        <v>8.0</v>
      </c>
      <c r="S67" s="21">
        <v>8.0</v>
      </c>
      <c r="T67" s="21">
        <v>8.0</v>
      </c>
      <c r="U67" s="21">
        <v>8.0</v>
      </c>
      <c r="V67" s="7"/>
      <c r="W67" s="7"/>
      <c r="X67" s="7"/>
      <c r="Y67" s="7"/>
      <c r="Z67" s="21"/>
      <c r="AA67" s="21"/>
      <c r="AB67" s="21"/>
      <c r="AC67" s="21"/>
      <c r="AD67" s="8">
        <v>2.3</v>
      </c>
    </row>
    <row r="68" ht="15.75" customHeight="1">
      <c r="A68" s="20" t="s">
        <v>89</v>
      </c>
      <c r="B68" s="7"/>
      <c r="C68" s="7"/>
      <c r="D68" s="7"/>
      <c r="E68" s="7"/>
      <c r="F68" s="22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21"/>
      <c r="S68" s="21"/>
      <c r="T68" s="21"/>
      <c r="U68" s="21"/>
      <c r="V68" s="21">
        <v>8.0</v>
      </c>
      <c r="W68" s="21">
        <v>8.0</v>
      </c>
      <c r="X68" s="21">
        <v>8.0</v>
      </c>
      <c r="Y68" s="21">
        <v>8.0</v>
      </c>
      <c r="Z68" s="21">
        <v>16.0</v>
      </c>
      <c r="AA68" s="21">
        <v>16.0</v>
      </c>
      <c r="AB68" s="21">
        <v>16.0</v>
      </c>
      <c r="AC68" s="21"/>
      <c r="AD68" s="8">
        <v>3.2</v>
      </c>
    </row>
    <row r="69" ht="15.75" customHeight="1">
      <c r="A69" s="20" t="s">
        <v>90</v>
      </c>
      <c r="B69" s="7"/>
      <c r="C69" s="7"/>
      <c r="D69" s="7"/>
      <c r="E69" s="7"/>
      <c r="F69" s="22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21">
        <v>4.0</v>
      </c>
      <c r="W69" s="21">
        <v>4.0</v>
      </c>
      <c r="X69" s="21">
        <v>4.0</v>
      </c>
      <c r="Y69" s="21">
        <v>4.0</v>
      </c>
      <c r="Z69" s="21">
        <v>4.0</v>
      </c>
      <c r="AA69" s="21">
        <v>4.0</v>
      </c>
      <c r="AB69" s="21">
        <v>4.0</v>
      </c>
      <c r="AC69" s="21"/>
      <c r="AD69" s="8">
        <v>0.95</v>
      </c>
    </row>
    <row r="70" ht="15.75" customHeight="1">
      <c r="A70" s="20" t="s">
        <v>91</v>
      </c>
      <c r="B70" s="7"/>
      <c r="C70" s="7"/>
      <c r="D70" s="7"/>
      <c r="E70" s="7"/>
      <c r="F70" s="22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21">
        <v>10.0</v>
      </c>
      <c r="W70" s="21">
        <v>10.0</v>
      </c>
      <c r="X70" s="21">
        <v>10.0</v>
      </c>
      <c r="Y70" s="21">
        <v>10.0</v>
      </c>
      <c r="Z70" s="21">
        <v>10.0</v>
      </c>
      <c r="AA70" s="21">
        <v>10.0</v>
      </c>
      <c r="AB70" s="21">
        <v>10.0</v>
      </c>
      <c r="AC70" s="21"/>
      <c r="AD70" s="8">
        <v>0.8</v>
      </c>
    </row>
    <row r="71" ht="15.75" customHeight="1">
      <c r="A71" s="20" t="s">
        <v>92</v>
      </c>
      <c r="B71" s="21">
        <v>2.0</v>
      </c>
      <c r="C71" s="7"/>
      <c r="D71" s="7"/>
      <c r="E71" s="7"/>
      <c r="F71" s="22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8">
        <v>6.0</v>
      </c>
    </row>
    <row r="72" ht="15.75" customHeight="1">
      <c r="A72" s="20" t="s">
        <v>93</v>
      </c>
      <c r="B72" s="7"/>
      <c r="C72" s="7"/>
      <c r="D72" s="7"/>
      <c r="E72" s="7"/>
      <c r="F72" s="22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8">
        <v>6.0</v>
      </c>
    </row>
    <row r="73" ht="15.75" customHeight="1">
      <c r="A73" s="20" t="s">
        <v>94</v>
      </c>
      <c r="B73" s="7"/>
      <c r="C73" s="21">
        <v>2.0</v>
      </c>
      <c r="D73" s="21">
        <v>2.0</v>
      </c>
      <c r="E73" s="21">
        <v>2.0</v>
      </c>
      <c r="F73" s="21">
        <v>3.0</v>
      </c>
      <c r="G73" s="21">
        <v>3.0</v>
      </c>
      <c r="H73" s="21">
        <v>3.0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8">
        <v>6.0</v>
      </c>
    </row>
    <row r="74" ht="15.75" customHeight="1">
      <c r="A74" s="20" t="s">
        <v>95</v>
      </c>
      <c r="B74" s="7"/>
      <c r="C74" s="7"/>
      <c r="D74" s="7"/>
      <c r="E74" s="7"/>
      <c r="F74" s="22"/>
      <c r="G74" s="7"/>
      <c r="H74" s="7"/>
      <c r="I74" s="21">
        <v>3.0</v>
      </c>
      <c r="J74" s="21">
        <v>3.0</v>
      </c>
      <c r="K74" s="21">
        <v>3.0</v>
      </c>
      <c r="L74" s="21">
        <v>3.0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8">
        <v>6.0</v>
      </c>
    </row>
    <row r="75" ht="15.75" customHeight="1">
      <c r="A75" s="20" t="s">
        <v>96</v>
      </c>
      <c r="B75" s="7"/>
      <c r="C75" s="7"/>
      <c r="D75" s="7"/>
      <c r="E75" s="7"/>
      <c r="F75" s="22"/>
      <c r="G75" s="7"/>
      <c r="H75" s="23"/>
      <c r="I75" s="23"/>
      <c r="J75" s="7"/>
      <c r="K75" s="7"/>
      <c r="L75" s="7"/>
      <c r="M75" s="21">
        <v>3.0</v>
      </c>
      <c r="N75" s="21">
        <v>3.0</v>
      </c>
      <c r="O75" s="21">
        <v>3.0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8">
        <v>6.0</v>
      </c>
    </row>
    <row r="76" ht="15.75" customHeight="1">
      <c r="A76" s="20" t="s">
        <v>97</v>
      </c>
      <c r="B76" s="7"/>
      <c r="C76" s="7"/>
      <c r="D76" s="7"/>
      <c r="E76" s="7"/>
      <c r="F76" s="22"/>
      <c r="G76" s="7"/>
      <c r="H76" s="7"/>
      <c r="I76" s="7"/>
      <c r="J76" s="7"/>
      <c r="K76" s="7"/>
      <c r="L76" s="7"/>
      <c r="M76" s="7"/>
      <c r="N76" s="7"/>
      <c r="O76" s="7"/>
      <c r="P76" s="21">
        <v>3.0</v>
      </c>
      <c r="Q76" s="21">
        <v>3.0</v>
      </c>
      <c r="R76" s="21">
        <v>3.0</v>
      </c>
      <c r="S76" s="7"/>
      <c r="T76" s="7"/>
      <c r="U76" s="7"/>
      <c r="V76" s="21">
        <v>3.0</v>
      </c>
      <c r="W76" s="21">
        <v>3.0</v>
      </c>
      <c r="X76" s="21">
        <v>3.0</v>
      </c>
      <c r="Y76" s="21">
        <v>3.0</v>
      </c>
      <c r="Z76" s="7"/>
      <c r="AA76" s="7"/>
      <c r="AB76" s="7"/>
      <c r="AC76" s="7"/>
      <c r="AD76" s="8">
        <v>6.0</v>
      </c>
    </row>
    <row r="77" ht="15.75" customHeight="1">
      <c r="A77" s="20" t="s">
        <v>98</v>
      </c>
      <c r="B77" s="7"/>
      <c r="C77" s="7"/>
      <c r="D77" s="7"/>
      <c r="E77" s="7"/>
      <c r="F77" s="22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21">
        <v>3.0</v>
      </c>
      <c r="T77" s="21">
        <v>3.0</v>
      </c>
      <c r="U77" s="21">
        <v>3.0</v>
      </c>
      <c r="V77" s="7"/>
      <c r="W77" s="7"/>
      <c r="X77" s="7"/>
      <c r="Y77" s="7"/>
      <c r="Z77" s="7"/>
      <c r="AA77" s="7"/>
      <c r="AB77" s="7"/>
      <c r="AC77" s="7"/>
      <c r="AD77" s="8">
        <v>24.0</v>
      </c>
    </row>
    <row r="78" ht="15.75" customHeight="1">
      <c r="A78" s="20" t="s">
        <v>99</v>
      </c>
      <c r="B78" s="7"/>
      <c r="C78" s="7"/>
      <c r="D78" s="7"/>
      <c r="E78" s="7"/>
      <c r="F78" s="22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21">
        <v>3.0</v>
      </c>
      <c r="AA78" s="21">
        <v>3.0</v>
      </c>
      <c r="AB78" s="21">
        <v>3.0</v>
      </c>
      <c r="AC78" s="21">
        <v>3.0</v>
      </c>
      <c r="AD78" s="8">
        <v>24.0</v>
      </c>
    </row>
    <row r="79" ht="15.75" customHeight="1">
      <c r="A79" s="20" t="s">
        <v>100</v>
      </c>
      <c r="B79" s="7"/>
      <c r="C79" s="7"/>
      <c r="D79" s="7"/>
      <c r="E79" s="7"/>
      <c r="F79" s="22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8">
        <v>45.0</v>
      </c>
    </row>
    <row r="80" ht="15.75" customHeight="1">
      <c r="A80" s="20" t="s">
        <v>101</v>
      </c>
      <c r="B80" s="7"/>
      <c r="C80" s="7"/>
      <c r="D80" s="7"/>
      <c r="E80" s="7"/>
      <c r="F80" s="22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21">
        <v>30.0</v>
      </c>
      <c r="W80" s="21">
        <v>30.0</v>
      </c>
      <c r="X80" s="21">
        <v>30.0</v>
      </c>
      <c r="Y80" s="21">
        <v>30.0</v>
      </c>
      <c r="Z80" s="21">
        <v>30.0</v>
      </c>
      <c r="AA80" s="21">
        <v>30.0</v>
      </c>
      <c r="AB80" s="21">
        <v>30.0</v>
      </c>
      <c r="AC80" s="21">
        <v>30.0</v>
      </c>
      <c r="AD80" s="8">
        <v>1.75</v>
      </c>
    </row>
    <row r="81" ht="15.75" customHeight="1">
      <c r="A81" s="20" t="s">
        <v>102</v>
      </c>
      <c r="B81" s="7"/>
      <c r="C81" s="7"/>
      <c r="D81" s="7"/>
      <c r="E81" s="7"/>
      <c r="F81" s="22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8">
        <v>1.75</v>
      </c>
    </row>
    <row r="82" ht="15.75" customHeight="1">
      <c r="A82" s="20" t="s">
        <v>103</v>
      </c>
      <c r="B82" s="7"/>
      <c r="C82" s="7"/>
      <c r="D82" s="7"/>
      <c r="E82" s="7"/>
      <c r="F82" s="22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8">
        <v>1.75</v>
      </c>
    </row>
    <row r="83" ht="15.75" customHeight="1">
      <c r="A83" s="20" t="s">
        <v>104</v>
      </c>
      <c r="B83" s="7"/>
      <c r="C83" s="7"/>
      <c r="D83" s="7"/>
      <c r="E83" s="7"/>
      <c r="F83" s="22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8">
        <v>1.75</v>
      </c>
    </row>
    <row r="84" ht="15.75" customHeight="1">
      <c r="A84" s="20" t="s">
        <v>105</v>
      </c>
      <c r="B84" s="7"/>
      <c r="C84" s="7"/>
      <c r="D84" s="7"/>
      <c r="E84" s="7"/>
      <c r="F84" s="22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8">
        <v>1.75</v>
      </c>
    </row>
    <row r="85" ht="15.75" customHeight="1">
      <c r="A85" s="20" t="s">
        <v>106</v>
      </c>
      <c r="B85" s="7"/>
      <c r="C85" s="7"/>
      <c r="D85" s="7"/>
      <c r="E85" s="7"/>
      <c r="F85" s="22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8">
        <v>1.3</v>
      </c>
    </row>
    <row r="86" ht="15.75" customHeight="1">
      <c r="A86" s="20" t="s">
        <v>107</v>
      </c>
      <c r="B86" s="7"/>
      <c r="C86" s="7"/>
      <c r="D86" s="7"/>
      <c r="E86" s="7"/>
      <c r="F86" s="22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8">
        <v>1.3</v>
      </c>
    </row>
    <row r="87" ht="15.75" customHeight="1">
      <c r="A87" s="20" t="s">
        <v>108</v>
      </c>
      <c r="B87" s="7"/>
      <c r="C87" s="7"/>
      <c r="D87" s="7"/>
      <c r="E87" s="7"/>
      <c r="F87" s="22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8">
        <v>1.3</v>
      </c>
    </row>
    <row r="88" ht="15.75" customHeight="1">
      <c r="A88" s="20" t="s">
        <v>109</v>
      </c>
      <c r="B88" s="7"/>
      <c r="C88" s="7"/>
      <c r="D88" s="7"/>
      <c r="E88" s="7"/>
      <c r="F88" s="22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8">
        <v>1.3</v>
      </c>
    </row>
    <row r="89" ht="15.75" customHeight="1">
      <c r="A89" s="20" t="s">
        <v>110</v>
      </c>
      <c r="B89" s="7"/>
      <c r="C89" s="7"/>
      <c r="D89" s="7"/>
      <c r="E89" s="7"/>
      <c r="F89" s="22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8">
        <v>1.3</v>
      </c>
    </row>
    <row r="90" ht="15.75" customHeight="1">
      <c r="A90" s="20" t="s">
        <v>111</v>
      </c>
      <c r="B90" s="7"/>
      <c r="C90" s="7"/>
      <c r="D90" s="7"/>
      <c r="E90" s="7"/>
      <c r="F90" s="22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8">
        <v>3.2</v>
      </c>
    </row>
    <row r="91" ht="15.75" customHeight="1">
      <c r="A91" s="20" t="s">
        <v>112</v>
      </c>
      <c r="B91" s="7"/>
      <c r="C91" s="7"/>
      <c r="D91" s="7"/>
      <c r="E91" s="7"/>
      <c r="F91" s="22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21">
        <v>60.0</v>
      </c>
      <c r="W91" s="21">
        <v>60.0</v>
      </c>
      <c r="X91" s="21">
        <v>60.0</v>
      </c>
      <c r="Y91" s="21">
        <v>60.0</v>
      </c>
      <c r="Z91" s="21">
        <v>60.0</v>
      </c>
      <c r="AA91" s="21">
        <v>60.0</v>
      </c>
      <c r="AB91" s="21">
        <v>60.0</v>
      </c>
      <c r="AC91" s="21">
        <v>60.0</v>
      </c>
      <c r="AD91" s="8">
        <v>3.2</v>
      </c>
    </row>
    <row r="92" ht="15.75" customHeight="1">
      <c r="A92" s="20" t="s">
        <v>113</v>
      </c>
      <c r="B92" s="7"/>
      <c r="C92" s="7"/>
      <c r="D92" s="7"/>
      <c r="E92" s="7"/>
      <c r="F92" s="22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21">
        <v>60.0</v>
      </c>
      <c r="AA92" s="21">
        <v>60.0</v>
      </c>
      <c r="AB92" s="21">
        <v>60.0</v>
      </c>
      <c r="AC92" s="21">
        <v>60.0</v>
      </c>
      <c r="AD92" s="8">
        <v>3.2</v>
      </c>
    </row>
    <row r="93" ht="15.75" customHeight="1">
      <c r="A93" s="20" t="s">
        <v>114</v>
      </c>
      <c r="B93" s="7"/>
      <c r="C93" s="7"/>
      <c r="D93" s="7"/>
      <c r="E93" s="7"/>
      <c r="F93" s="22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21">
        <v>60.0</v>
      </c>
      <c r="AA93" s="21">
        <v>60.0</v>
      </c>
      <c r="AB93" s="21">
        <v>60.0</v>
      </c>
      <c r="AC93" s="21">
        <v>60.0</v>
      </c>
      <c r="AD93" s="8">
        <v>3.2</v>
      </c>
    </row>
    <row r="94" ht="15.75" customHeight="1">
      <c r="A94" s="20" t="s">
        <v>115</v>
      </c>
      <c r="B94" s="7"/>
      <c r="C94" s="7"/>
      <c r="D94" s="7"/>
      <c r="E94" s="7"/>
      <c r="F94" s="22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21">
        <v>60.0</v>
      </c>
      <c r="W94" s="21">
        <v>60.0</v>
      </c>
      <c r="X94" s="21">
        <v>60.0</v>
      </c>
      <c r="Y94" s="21">
        <v>60.0</v>
      </c>
      <c r="Z94" s="21">
        <v>40.0</v>
      </c>
      <c r="AA94" s="21">
        <v>40.0</v>
      </c>
      <c r="AB94" s="21">
        <v>40.0</v>
      </c>
      <c r="AC94" s="21">
        <v>40.0</v>
      </c>
      <c r="AD94" s="8">
        <v>3.2</v>
      </c>
    </row>
    <row r="95" ht="15.75" customHeight="1">
      <c r="A95" s="20" t="s">
        <v>116</v>
      </c>
      <c r="B95" s="7"/>
      <c r="C95" s="21">
        <v>20.0</v>
      </c>
      <c r="D95" s="21">
        <v>20.0</v>
      </c>
      <c r="E95" s="21">
        <v>20.0</v>
      </c>
      <c r="F95" s="21">
        <v>20.0</v>
      </c>
      <c r="G95" s="21">
        <v>20.0</v>
      </c>
      <c r="H95" s="21">
        <v>20.0</v>
      </c>
      <c r="I95" s="21">
        <v>20.0</v>
      </c>
      <c r="J95" s="21">
        <v>20.0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8">
        <v>4.5</v>
      </c>
    </row>
    <row r="96" ht="15.75" customHeight="1">
      <c r="A96" s="20" t="s">
        <v>117</v>
      </c>
      <c r="B96" s="21">
        <v>20.0</v>
      </c>
      <c r="C96" s="7"/>
      <c r="D96" s="7"/>
      <c r="E96" s="7"/>
      <c r="F96" s="22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8">
        <v>2.45</v>
      </c>
    </row>
    <row r="97" ht="15.75" customHeight="1">
      <c r="A97" s="20" t="s">
        <v>118</v>
      </c>
      <c r="B97" s="7"/>
      <c r="C97" s="7"/>
      <c r="D97" s="7"/>
      <c r="E97" s="7"/>
      <c r="F97" s="22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8">
        <v>1.95</v>
      </c>
    </row>
    <row r="98" ht="15.75" customHeight="1">
      <c r="A98" s="20" t="s">
        <v>119</v>
      </c>
      <c r="B98" s="7"/>
      <c r="C98" s="7"/>
      <c r="D98" s="7"/>
      <c r="E98" s="7"/>
      <c r="F98" s="22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8">
        <v>0.35</v>
      </c>
    </row>
    <row r="99" ht="15.75" customHeight="1">
      <c r="A99" s="20" t="s">
        <v>120</v>
      </c>
      <c r="B99" s="7"/>
      <c r="C99" s="7"/>
      <c r="D99" s="7"/>
      <c r="E99" s="7"/>
      <c r="F99" s="22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8">
        <v>0.35</v>
      </c>
    </row>
    <row r="100" ht="15.75" customHeight="1">
      <c r="A100" s="20" t="s">
        <v>121</v>
      </c>
      <c r="B100" s="7"/>
      <c r="C100" s="7"/>
      <c r="D100" s="7"/>
      <c r="E100" s="7"/>
      <c r="F100" s="22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8">
        <v>0.35</v>
      </c>
    </row>
    <row r="101" ht="15.75" customHeight="1">
      <c r="A101" s="20" t="s">
        <v>122</v>
      </c>
      <c r="B101" s="7"/>
      <c r="C101" s="7"/>
      <c r="D101" s="7"/>
      <c r="E101" s="7"/>
      <c r="F101" s="22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21">
        <v>1.0</v>
      </c>
      <c r="W101" s="21">
        <v>1.0</v>
      </c>
      <c r="X101" s="21">
        <v>1.0</v>
      </c>
      <c r="Y101" s="21">
        <v>1.0</v>
      </c>
      <c r="Z101" s="21">
        <v>1.0</v>
      </c>
      <c r="AA101" s="21">
        <v>1.0</v>
      </c>
      <c r="AB101" s="21">
        <v>1.0</v>
      </c>
      <c r="AC101" s="21">
        <v>1.0</v>
      </c>
      <c r="AD101" s="8">
        <v>28.0</v>
      </c>
    </row>
    <row r="102" ht="15.75" customHeight="1">
      <c r="A102" s="20" t="s">
        <v>123</v>
      </c>
      <c r="B102" s="7"/>
      <c r="C102" s="7"/>
      <c r="D102" s="7"/>
      <c r="E102" s="7"/>
      <c r="F102" s="22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8">
        <v>0.5</v>
      </c>
    </row>
    <row r="103" ht="15.75" customHeight="1">
      <c r="A103" s="20" t="s">
        <v>124</v>
      </c>
      <c r="B103" s="7"/>
      <c r="C103" s="7"/>
      <c r="D103" s="7"/>
      <c r="E103" s="7"/>
      <c r="F103" s="22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8">
        <v>0.5</v>
      </c>
    </row>
    <row r="104" ht="15.75" customHeight="1">
      <c r="A104" s="20" t="s">
        <v>125</v>
      </c>
      <c r="B104" s="7"/>
      <c r="C104" s="7"/>
      <c r="D104" s="7"/>
      <c r="E104" s="7"/>
      <c r="F104" s="22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8">
        <v>0.5</v>
      </c>
    </row>
    <row r="105" ht="15.75" customHeight="1">
      <c r="A105" s="20" t="s">
        <v>126</v>
      </c>
      <c r="B105" s="7"/>
      <c r="C105" s="7"/>
      <c r="D105" s="7"/>
      <c r="E105" s="7"/>
      <c r="F105" s="22"/>
      <c r="G105" s="7"/>
      <c r="H105" s="7"/>
      <c r="I105" s="7"/>
      <c r="J105" s="7"/>
      <c r="K105" s="21">
        <v>20.0</v>
      </c>
      <c r="L105" s="21">
        <v>20.0</v>
      </c>
      <c r="M105" s="21">
        <v>20.0</v>
      </c>
      <c r="N105" s="21">
        <v>20.0</v>
      </c>
      <c r="O105" s="21">
        <v>20.0</v>
      </c>
      <c r="P105" s="21">
        <v>20.0</v>
      </c>
      <c r="Q105" s="21">
        <v>20.0</v>
      </c>
      <c r="R105" s="21">
        <v>20.0</v>
      </c>
      <c r="S105" s="21">
        <v>60.0</v>
      </c>
      <c r="T105" s="21">
        <v>60.0</v>
      </c>
      <c r="U105" s="21">
        <v>60.0</v>
      </c>
      <c r="V105" s="7"/>
      <c r="W105" s="7"/>
      <c r="X105" s="7"/>
      <c r="Y105" s="7"/>
      <c r="Z105" s="7"/>
      <c r="AA105" s="7"/>
      <c r="AB105" s="7"/>
      <c r="AC105" s="7"/>
      <c r="AD105" s="8">
        <v>8.0</v>
      </c>
    </row>
    <row r="106" ht="15.75" customHeight="1">
      <c r="A106" s="20" t="s">
        <v>127</v>
      </c>
      <c r="B106" s="7"/>
      <c r="C106" s="7"/>
      <c r="D106" s="7"/>
      <c r="E106" s="7"/>
      <c r="F106" s="22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8">
        <v>12.0</v>
      </c>
    </row>
    <row r="107" ht="15.75" customHeight="1">
      <c r="A107" s="20" t="s">
        <v>128</v>
      </c>
      <c r="B107" s="7"/>
      <c r="C107" s="7"/>
      <c r="D107" s="7"/>
      <c r="E107" s="7"/>
      <c r="F107" s="22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8">
        <v>11.5</v>
      </c>
    </row>
    <row r="108" ht="15.75" customHeight="1">
      <c r="A108" s="20" t="s">
        <v>129</v>
      </c>
      <c r="B108" s="7"/>
      <c r="C108" s="7"/>
      <c r="D108" s="7"/>
      <c r="E108" s="7"/>
      <c r="F108" s="22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8">
        <v>18.0</v>
      </c>
    </row>
    <row r="109" ht="15.75" customHeight="1">
      <c r="A109" s="20" t="s">
        <v>130</v>
      </c>
      <c r="B109" s="7"/>
      <c r="C109" s="7"/>
      <c r="D109" s="7"/>
      <c r="E109" s="7"/>
      <c r="F109" s="22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8">
        <v>5.5</v>
      </c>
    </row>
    <row r="110" ht="15.75" customHeight="1">
      <c r="A110" s="24" t="s">
        <v>131</v>
      </c>
      <c r="B110" s="21">
        <f t="shared" ref="B110:AC110" si="4">0.5%*B8</f>
        <v>7.449</v>
      </c>
      <c r="C110" s="21">
        <f t="shared" si="4"/>
        <v>11.611</v>
      </c>
      <c r="D110" s="21">
        <f t="shared" si="4"/>
        <v>12.986</v>
      </c>
      <c r="E110" s="21">
        <f t="shared" si="4"/>
        <v>19.4835</v>
      </c>
      <c r="F110" s="21">
        <f t="shared" si="4"/>
        <v>16.5665</v>
      </c>
      <c r="G110" s="21">
        <f t="shared" si="4"/>
        <v>23.087</v>
      </c>
      <c r="H110" s="21">
        <f t="shared" si="4"/>
        <v>26.462</v>
      </c>
      <c r="I110" s="21">
        <f t="shared" si="4"/>
        <v>26.7445</v>
      </c>
      <c r="J110" s="21">
        <f t="shared" si="4"/>
        <v>30.6195</v>
      </c>
      <c r="K110" s="21">
        <f t="shared" si="4"/>
        <v>38.7335</v>
      </c>
      <c r="L110" s="21">
        <f t="shared" si="4"/>
        <v>45.4235</v>
      </c>
      <c r="M110" s="21">
        <f t="shared" si="4"/>
        <v>35.0535</v>
      </c>
      <c r="N110" s="21">
        <f t="shared" si="4"/>
        <v>43.2435</v>
      </c>
      <c r="O110" s="21">
        <f t="shared" si="4"/>
        <v>51.676</v>
      </c>
      <c r="P110" s="21">
        <f t="shared" si="4"/>
        <v>37.1985</v>
      </c>
      <c r="Q110" s="21">
        <f t="shared" si="4"/>
        <v>46.5935</v>
      </c>
      <c r="R110" s="21">
        <f t="shared" si="4"/>
        <v>55.956</v>
      </c>
      <c r="S110" s="21">
        <f t="shared" si="4"/>
        <v>39.7035</v>
      </c>
      <c r="T110" s="21">
        <f t="shared" si="4"/>
        <v>48.9635</v>
      </c>
      <c r="U110" s="21">
        <f t="shared" si="4"/>
        <v>58.326</v>
      </c>
      <c r="V110" s="21">
        <f t="shared" si="4"/>
        <v>53.259</v>
      </c>
      <c r="W110" s="21">
        <f t="shared" si="4"/>
        <v>61.0015</v>
      </c>
      <c r="X110" s="21">
        <f t="shared" si="4"/>
        <v>77.9815</v>
      </c>
      <c r="Y110" s="21">
        <f t="shared" si="4"/>
        <v>90.499</v>
      </c>
      <c r="Z110" s="21">
        <f t="shared" si="4"/>
        <v>72.371</v>
      </c>
      <c r="AA110" s="21">
        <f t="shared" si="4"/>
        <v>90.8785</v>
      </c>
      <c r="AB110" s="21">
        <f t="shared" si="4"/>
        <v>106.5885</v>
      </c>
      <c r="AC110" s="21">
        <f t="shared" si="4"/>
        <v>136.201</v>
      </c>
      <c r="AD110" s="24"/>
    </row>
    <row r="111" ht="15.75" customHeight="1">
      <c r="A111" s="25" t="s">
        <v>132</v>
      </c>
      <c r="B111" s="26">
        <f t="shared" ref="B111:AC111" si="5">8%*(B110+B8)</f>
        <v>119.77992</v>
      </c>
      <c r="C111" s="26">
        <f t="shared" si="5"/>
        <v>186.70488</v>
      </c>
      <c r="D111" s="26">
        <f t="shared" si="5"/>
        <v>208.81488</v>
      </c>
      <c r="E111" s="26">
        <f t="shared" si="5"/>
        <v>313.29468</v>
      </c>
      <c r="F111" s="26">
        <f t="shared" si="5"/>
        <v>266.38932</v>
      </c>
      <c r="G111" s="26">
        <f t="shared" si="5"/>
        <v>371.23896</v>
      </c>
      <c r="H111" s="26">
        <f t="shared" si="5"/>
        <v>425.50896</v>
      </c>
      <c r="I111" s="26">
        <f t="shared" si="5"/>
        <v>430.05156</v>
      </c>
      <c r="J111" s="26">
        <f t="shared" si="5"/>
        <v>492.36156</v>
      </c>
      <c r="K111" s="26">
        <f t="shared" si="5"/>
        <v>622.83468</v>
      </c>
      <c r="L111" s="26">
        <f t="shared" si="5"/>
        <v>730.40988</v>
      </c>
      <c r="M111" s="26">
        <f t="shared" si="5"/>
        <v>563.66028</v>
      </c>
      <c r="N111" s="26">
        <f t="shared" si="5"/>
        <v>695.35548</v>
      </c>
      <c r="O111" s="26">
        <f t="shared" si="5"/>
        <v>830.95008</v>
      </c>
      <c r="P111" s="26">
        <f t="shared" si="5"/>
        <v>598.15188</v>
      </c>
      <c r="Q111" s="26">
        <f t="shared" si="5"/>
        <v>749.22348</v>
      </c>
      <c r="R111" s="26">
        <f t="shared" si="5"/>
        <v>899.77248</v>
      </c>
      <c r="S111" s="26">
        <f t="shared" si="5"/>
        <v>638.43228</v>
      </c>
      <c r="T111" s="26">
        <f t="shared" si="5"/>
        <v>787.33308</v>
      </c>
      <c r="U111" s="26">
        <f t="shared" si="5"/>
        <v>937.88208</v>
      </c>
      <c r="V111" s="26">
        <f t="shared" si="5"/>
        <v>856.40472</v>
      </c>
      <c r="W111" s="26">
        <f t="shared" si="5"/>
        <v>980.90412</v>
      </c>
      <c r="X111" s="26">
        <f t="shared" si="5"/>
        <v>1253.94252</v>
      </c>
      <c r="Y111" s="26">
        <f t="shared" si="5"/>
        <v>1455.22392</v>
      </c>
      <c r="Z111" s="26">
        <f t="shared" si="5"/>
        <v>1163.72568</v>
      </c>
      <c r="AA111" s="26">
        <f t="shared" si="5"/>
        <v>1461.32628</v>
      </c>
      <c r="AB111" s="26">
        <f t="shared" si="5"/>
        <v>1713.94308</v>
      </c>
      <c r="AC111" s="26">
        <f t="shared" si="5"/>
        <v>2190.11208</v>
      </c>
      <c r="AD111" s="25"/>
    </row>
    <row r="112" ht="15.75" customHeight="1">
      <c r="A112" s="25" t="s">
        <v>133</v>
      </c>
      <c r="B112" s="26">
        <v>10.0</v>
      </c>
      <c r="C112" s="26">
        <v>10.0</v>
      </c>
      <c r="D112" s="26">
        <v>10.0</v>
      </c>
      <c r="E112" s="26">
        <v>10.0</v>
      </c>
      <c r="F112" s="26">
        <v>10.0</v>
      </c>
      <c r="G112" s="26">
        <v>10.0</v>
      </c>
      <c r="H112" s="26">
        <v>10.0</v>
      </c>
      <c r="I112" s="26">
        <v>10.0</v>
      </c>
      <c r="J112" s="26">
        <v>10.0</v>
      </c>
      <c r="K112" s="26">
        <v>10.0</v>
      </c>
      <c r="L112" s="26">
        <v>10.0</v>
      </c>
      <c r="M112" s="26">
        <v>10.0</v>
      </c>
      <c r="N112" s="26">
        <v>10.0</v>
      </c>
      <c r="O112" s="26">
        <v>10.0</v>
      </c>
      <c r="P112" s="26">
        <v>10.0</v>
      </c>
      <c r="Q112" s="26">
        <v>10.0</v>
      </c>
      <c r="R112" s="26">
        <v>10.0</v>
      </c>
      <c r="S112" s="26">
        <v>10.0</v>
      </c>
      <c r="T112" s="26">
        <v>10.0</v>
      </c>
      <c r="U112" s="26">
        <v>10.0</v>
      </c>
      <c r="V112" s="26">
        <v>10.0</v>
      </c>
      <c r="W112" s="26">
        <v>10.0</v>
      </c>
      <c r="X112" s="26">
        <v>10.0</v>
      </c>
      <c r="Y112" s="26">
        <v>10.0</v>
      </c>
      <c r="Z112" s="26">
        <v>10.0</v>
      </c>
      <c r="AA112" s="26">
        <v>10.0</v>
      </c>
      <c r="AB112" s="26">
        <v>10.0</v>
      </c>
      <c r="AC112" s="26">
        <v>10.0</v>
      </c>
      <c r="AD112" s="25"/>
    </row>
    <row r="113" ht="15.75" customHeight="1">
      <c r="A113" s="27" t="s">
        <v>134</v>
      </c>
      <c r="B113" s="28">
        <f t="shared" ref="B113:AC113" si="6">0.65*B112</f>
        <v>6.5</v>
      </c>
      <c r="C113" s="28">
        <f t="shared" si="6"/>
        <v>6.5</v>
      </c>
      <c r="D113" s="28">
        <f t="shared" si="6"/>
        <v>6.5</v>
      </c>
      <c r="E113" s="28">
        <f t="shared" si="6"/>
        <v>6.5</v>
      </c>
      <c r="F113" s="28">
        <f t="shared" si="6"/>
        <v>6.5</v>
      </c>
      <c r="G113" s="28">
        <f t="shared" si="6"/>
        <v>6.5</v>
      </c>
      <c r="H113" s="28">
        <f t="shared" si="6"/>
        <v>6.5</v>
      </c>
      <c r="I113" s="28">
        <f t="shared" si="6"/>
        <v>6.5</v>
      </c>
      <c r="J113" s="28">
        <f t="shared" si="6"/>
        <v>6.5</v>
      </c>
      <c r="K113" s="28">
        <f t="shared" si="6"/>
        <v>6.5</v>
      </c>
      <c r="L113" s="28">
        <f t="shared" si="6"/>
        <v>6.5</v>
      </c>
      <c r="M113" s="28">
        <f t="shared" si="6"/>
        <v>6.5</v>
      </c>
      <c r="N113" s="28">
        <f t="shared" si="6"/>
        <v>6.5</v>
      </c>
      <c r="O113" s="28">
        <f t="shared" si="6"/>
        <v>6.5</v>
      </c>
      <c r="P113" s="28">
        <f t="shared" si="6"/>
        <v>6.5</v>
      </c>
      <c r="Q113" s="28">
        <f t="shared" si="6"/>
        <v>6.5</v>
      </c>
      <c r="R113" s="28">
        <f t="shared" si="6"/>
        <v>6.5</v>
      </c>
      <c r="S113" s="28">
        <f t="shared" si="6"/>
        <v>6.5</v>
      </c>
      <c r="T113" s="28">
        <f t="shared" si="6"/>
        <v>6.5</v>
      </c>
      <c r="U113" s="28">
        <f t="shared" si="6"/>
        <v>6.5</v>
      </c>
      <c r="V113" s="28">
        <f t="shared" si="6"/>
        <v>6.5</v>
      </c>
      <c r="W113" s="28">
        <f t="shared" si="6"/>
        <v>6.5</v>
      </c>
      <c r="X113" s="28">
        <f t="shared" si="6"/>
        <v>6.5</v>
      </c>
      <c r="Y113" s="28">
        <f t="shared" si="6"/>
        <v>6.5</v>
      </c>
      <c r="Z113" s="28">
        <f t="shared" si="6"/>
        <v>6.5</v>
      </c>
      <c r="AA113" s="28">
        <f t="shared" si="6"/>
        <v>6.5</v>
      </c>
      <c r="AB113" s="28">
        <f t="shared" si="6"/>
        <v>6.5</v>
      </c>
      <c r="AC113" s="28">
        <f t="shared" si="6"/>
        <v>6.5</v>
      </c>
      <c r="AD113" s="27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