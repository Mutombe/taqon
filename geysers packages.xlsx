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8" i="1" l="1"/>
  <c r="Q46" i="1" s="1"/>
  <c r="Q47" i="1" s="1"/>
  <c r="Q44" i="1"/>
  <c r="Q49" i="1"/>
  <c r="O8" i="1"/>
  <c r="O44" i="1"/>
  <c r="O49" i="1"/>
  <c r="M8" i="1"/>
  <c r="M44" i="1"/>
  <c r="M49" i="1"/>
  <c r="K44" i="1"/>
  <c r="K8" i="1"/>
  <c r="K49" i="1"/>
  <c r="I44" i="1"/>
  <c r="I8" i="1"/>
  <c r="I49" i="1"/>
  <c r="G44" i="1"/>
  <c r="G49" i="1"/>
  <c r="G8" i="1"/>
  <c r="E44" i="1"/>
  <c r="E8" i="1"/>
  <c r="E49" i="1"/>
  <c r="C49" i="1"/>
  <c r="C44" i="1"/>
  <c r="C8" i="1"/>
  <c r="C46" i="1" s="1"/>
  <c r="C47" i="1" s="1"/>
  <c r="B8" i="1"/>
  <c r="B46" i="1" s="1"/>
  <c r="B47" i="1" s="1"/>
  <c r="P44" i="1"/>
  <c r="N44" i="1"/>
  <c r="L44" i="1"/>
  <c r="J44" i="1"/>
  <c r="H44" i="1"/>
  <c r="F44" i="1"/>
  <c r="D44" i="1"/>
  <c r="B44" i="1"/>
  <c r="Q7" i="1" l="1"/>
  <c r="O46" i="1"/>
  <c r="O47" i="1" s="1"/>
  <c r="O7" i="1" s="1"/>
  <c r="M46" i="1"/>
  <c r="M47" i="1" s="1"/>
  <c r="M7" i="1" s="1"/>
  <c r="K46" i="1"/>
  <c r="K47" i="1" s="1"/>
  <c r="K7" i="1" s="1"/>
  <c r="I46" i="1"/>
  <c r="I47" i="1" s="1"/>
  <c r="I7" i="1" s="1"/>
  <c r="G46" i="1"/>
  <c r="G47" i="1" s="1"/>
  <c r="G7" i="1" s="1"/>
  <c r="E46" i="1"/>
  <c r="E47" i="1" s="1"/>
  <c r="E7" i="1" s="1"/>
  <c r="C7" i="1"/>
  <c r="D8" i="1"/>
  <c r="D46" i="1" s="1"/>
  <c r="D47" i="1" s="1"/>
  <c r="F8" i="1"/>
  <c r="F46" i="1" s="1"/>
  <c r="F47" i="1" s="1"/>
  <c r="H8" i="1"/>
  <c r="H46" i="1" s="1"/>
  <c r="H47" i="1" s="1"/>
  <c r="J8" i="1"/>
  <c r="J46" i="1" s="1"/>
  <c r="J47" i="1" s="1"/>
  <c r="L8" i="1"/>
  <c r="L46" i="1" s="1"/>
  <c r="L47" i="1" s="1"/>
  <c r="N8" i="1"/>
  <c r="N46" i="1" s="1"/>
  <c r="N47" i="1" s="1"/>
  <c r="P8" i="1"/>
  <c r="P46" i="1" s="1"/>
  <c r="P47" i="1" s="1"/>
  <c r="B49" i="1"/>
  <c r="D49" i="1"/>
  <c r="F49" i="1"/>
  <c r="H49" i="1"/>
  <c r="J49" i="1"/>
  <c r="L49" i="1"/>
  <c r="N49" i="1"/>
  <c r="P49" i="1"/>
  <c r="H7" i="1" l="1"/>
  <c r="L7" i="1"/>
  <c r="F7" i="1"/>
  <c r="P7" i="1"/>
  <c r="J7" i="1"/>
  <c r="D7" i="1"/>
  <c r="N7" i="1"/>
  <c r="B7" i="1"/>
</calcChain>
</file>

<file path=xl/sharedStrings.xml><?xml version="1.0" encoding="utf-8"?>
<sst xmlns="http://schemas.openxmlformats.org/spreadsheetml/2006/main" count="59" uniqueCount="58">
  <si>
    <t>20A SINGLE POLE AC MCB</t>
  </si>
  <si>
    <t xml:space="preserve">SUNDRIES : insulation tape 2 rolls; heatshrinkables; crimp luggs; drill bits; hole saws; hucksaws; cable tiers; circuit labels; sillicone; </t>
  </si>
  <si>
    <t>TRANSPORTATION 0.65C PER KM OUTISDE HARARE</t>
  </si>
  <si>
    <t>TYPICAL SHOP UNIT PRICE</t>
  </si>
  <si>
    <t>PACKAGE MATERIAL PRICE</t>
  </si>
  <si>
    <t>DISTANCE</t>
  </si>
  <si>
    <t>TOTAL PACKAGE COST INCL LABOUR</t>
  </si>
  <si>
    <t>250G SOLDERING FLUX</t>
  </si>
  <si>
    <t>250G SOLADERING RESIN CORE</t>
  </si>
  <si>
    <t>FENDER WASHERS PACK OF 20</t>
  </si>
  <si>
    <t>M8 HOOK BOLTS AND NUTS</t>
  </si>
  <si>
    <t>GAS CANISTER</t>
  </si>
  <si>
    <t>COPPER CAPILLARY COUPLER 15MM X 1/2IN CXMi DELCOP</t>
  </si>
  <si>
    <t>COPPER CAPILLARY COUPLER 22MM X 3/4INCH CxMi DELCOP</t>
  </si>
  <si>
    <t>COPPER TAP ADAPTER 15MM</t>
  </si>
  <si>
    <t>COPPER PIPE 15MM X 0.5 X 5.5M</t>
  </si>
  <si>
    <t>COPPER PIPE 22MM X 0.6 X 5.5M CLASS 0</t>
  </si>
  <si>
    <t>COBRA BALL VALVE 15MM NICKEL PLATED</t>
  </si>
  <si>
    <t>BALL VALVE 20MM NICKEL PLATED</t>
  </si>
  <si>
    <t>GALVANIZED IRON MOUNTING RAILS 6M</t>
  </si>
  <si>
    <t>THREAD TAPE</t>
  </si>
  <si>
    <t>TILE HOOKS</t>
  </si>
  <si>
    <t>100L GRAVITY ECOSOLAR</t>
  </si>
  <si>
    <t>150L GRAVITY ECOSOLAR</t>
  </si>
  <si>
    <t>200L GRAVITY ECOSOLAR</t>
  </si>
  <si>
    <t>300L GRAVITY ELECTROSALES</t>
  </si>
  <si>
    <t>100L PRESSURE SUNTASK</t>
  </si>
  <si>
    <t>150L PRESSURE SUNTASK</t>
  </si>
  <si>
    <t>200L PRESSURE SUNTASK</t>
  </si>
  <si>
    <t>300L PRESSURE SUNTASK</t>
  </si>
  <si>
    <t>400kpa PRESSUR CONTROL VALVE</t>
  </si>
  <si>
    <t>22MM COPPER TEE CAPILLARY</t>
  </si>
  <si>
    <t>VACUUM BREAKER</t>
  </si>
  <si>
    <t>20MM NON-RETURN VALVE</t>
  </si>
  <si>
    <t>22MMX15MM COPPER REDUCERS</t>
  </si>
  <si>
    <t>22MM COPPER COUPLERS Cu-Cu</t>
  </si>
  <si>
    <t>1500W SOLAR GEYSER ELEMENT</t>
  </si>
  <si>
    <t>INTERLLIGENT SOLAR GEYSER CONTROLLER</t>
  </si>
  <si>
    <t>40 BY 40 PVC TRUNKING</t>
  </si>
  <si>
    <t>2.5MM FLEX CABLE</t>
  </si>
  <si>
    <t>TOTAL MATERIAL COST</t>
  </si>
  <si>
    <t>SKILLED LABOUR 30% OF TOTAL MATERIALS AND SUNDRIES</t>
  </si>
  <si>
    <t>100L GRAVITY STANDARD</t>
  </si>
  <si>
    <t>100L GRAVITY SMART</t>
  </si>
  <si>
    <t>150L GRAVITY STANDARD</t>
  </si>
  <si>
    <t>150L GRAVITY SMART</t>
  </si>
  <si>
    <t>200L GRAVITY STANDARD</t>
  </si>
  <si>
    <t>200L GRAVITY SMART</t>
  </si>
  <si>
    <t>300L GRAVITY STANDARD</t>
  </si>
  <si>
    <t>300L GRAVITY SMART</t>
  </si>
  <si>
    <t>100L PRESSURE STANDARD</t>
  </si>
  <si>
    <t>100L PRESSURE GEYSER SMART</t>
  </si>
  <si>
    <t>150L PRESURE STANDARD</t>
  </si>
  <si>
    <t>150L PRESSURE SMART</t>
  </si>
  <si>
    <t>200L PRESURE STANDARD</t>
  </si>
  <si>
    <t>200L PRESSURE SMART</t>
  </si>
  <si>
    <t>300L PRESSURE STANDARD</t>
  </si>
  <si>
    <t>300L PRESSURE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</si>
</sst>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4" borderId="0" xfId="0" applyFont="1" applyFill="1" applyAlignment="1">
      <alignment wrapText="1"/>
    </xf>
    <xf numFmtId="0" fontId="1" fillId="4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0" borderId="0" xfId="0" applyFont="1" applyAlignment="1">
      <alignment wrapText="1"/>
    </xf>
    <xf numFmtId="0" fontId="1" fillId="5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8" borderId="1" xfId="0" applyFont="1" applyFill="1" applyBorder="1"/>
    <xf numFmtId="0" fontId="1" fillId="4" borderId="3" xfId="0" applyFont="1" applyFill="1" applyBorder="1" applyAlignment="1">
      <alignment wrapText="1"/>
    </xf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R49"/>
  <sheetViews>
    <sheetView tabSelected="1" zoomScale="85" zoomScaleNormal="85" workbookViewId="0">
      <selection activeCell="S9" sqref="S9"/>
    </sheetView>
  </sheetViews>
  <sheetFormatPr defaultRowHeight="15" x14ac:dyDescent="0.25"/>
  <cols>
    <col min="1" max="1" width="28.140625" style="14" bestFit="1" customWidth="1"/>
    <col min="2" max="2" width="11.28515625" style="5" bestFit="1" customWidth="1"/>
    <col min="3" max="3" width="12.85546875" style="5" bestFit="1" customWidth="1"/>
    <col min="4" max="4" width="11.28515625" style="5" bestFit="1" customWidth="1"/>
    <col min="5" max="5" width="11.28515625" style="5" customWidth="1"/>
    <col min="6" max="6" width="11.28515625" style="5" bestFit="1" customWidth="1"/>
    <col min="7" max="7" width="11.28515625" style="5" customWidth="1"/>
    <col min="8" max="8" width="11.28515625" style="5" bestFit="1" customWidth="1"/>
    <col min="9" max="9" width="11.28515625" style="5" customWidth="1"/>
    <col min="10" max="10" width="11.28515625" style="5" bestFit="1" customWidth="1"/>
    <col min="11" max="11" width="12.85546875" style="5" bestFit="1" customWidth="1"/>
    <col min="12" max="12" width="11.28515625" style="5" bestFit="1" customWidth="1"/>
    <col min="13" max="13" width="11.85546875" style="5" bestFit="1" customWidth="1"/>
    <col min="14" max="14" width="11.28515625" style="5" bestFit="1" customWidth="1"/>
    <col min="15" max="15" width="11.85546875" style="5" bestFit="1" customWidth="1"/>
    <col min="16" max="17" width="15.85546875" style="5" customWidth="1"/>
    <col min="18" max="18" width="19.85546875" style="5" bestFit="1" customWidth="1"/>
    <col min="19" max="20" width="14.85546875" style="5" bestFit="1" customWidth="1"/>
    <col min="21" max="22" width="18.42578125" style="5" bestFit="1" customWidth="1"/>
    <col min="23" max="16384" width="9.140625" style="5"/>
  </cols>
  <sheetData>
    <row r="7" spans="1:18" ht="30" x14ac:dyDescent="0.25">
      <c r="A7" s="14" t="s">
        <v>6</v>
      </c>
      <c r="B7" s="5">
        <f>B8+B49+B47</f>
        <v>791.68649999999991</v>
      </c>
      <c r="C7" s="5">
        <f>C8+C49+C47</f>
        <v>1193.4189999999999</v>
      </c>
      <c r="D7" s="5">
        <f>D8+D49+D47</f>
        <v>878.80524999999989</v>
      </c>
      <c r="E7" s="5">
        <f>E8+E49+E47</f>
        <v>1280.53775</v>
      </c>
      <c r="F7" s="5">
        <f>F8+F49+F47</f>
        <v>986.80619999999999</v>
      </c>
      <c r="G7" s="5">
        <f>G8+G49+G47</f>
        <v>1388.5387000000001</v>
      </c>
      <c r="H7" s="5">
        <f>H8+H49+H47</f>
        <v>1538.0805</v>
      </c>
      <c r="I7" s="5">
        <f>I8+I49+I47</f>
        <v>1939.8130000000001</v>
      </c>
      <c r="J7" s="5">
        <f>J8+J49+J47</f>
        <v>1835.9280000000001</v>
      </c>
      <c r="K7" s="5">
        <f>K8+K49+K47</f>
        <v>2237.6605</v>
      </c>
      <c r="L7" s="5">
        <f>L8+L49+L47</f>
        <v>2225.9569999999999</v>
      </c>
      <c r="M7" s="5">
        <f>M8+M49+M47</f>
        <v>2627.6895</v>
      </c>
      <c r="N7" s="5">
        <f>N8+N49+N47</f>
        <v>2660.8932500000001</v>
      </c>
      <c r="O7" s="5">
        <f>O8+O49+O47</f>
        <v>3062.6257500000002</v>
      </c>
      <c r="P7" s="5">
        <f>P8+P49+P47</f>
        <v>3471.5907499999994</v>
      </c>
      <c r="Q7" s="5">
        <f>Q8+Q49+Q47</f>
        <v>3471.5907499999994</v>
      </c>
    </row>
    <row r="8" spans="1:18" x14ac:dyDescent="0.25">
      <c r="A8" s="14" t="s">
        <v>4</v>
      </c>
      <c r="B8" s="5">
        <f>SUMPRODUCT(B10:B43,R10:R43)</f>
        <v>597.09999999999991</v>
      </c>
      <c r="C8" s="5">
        <f>SUMPRODUCT(C10:C43,R10:R43)</f>
        <v>902.59999999999991</v>
      </c>
      <c r="D8" s="5">
        <f>SUMPRODUCT(D10:D43,R10:R43)</f>
        <v>663.34999999999991</v>
      </c>
      <c r="E8" s="5">
        <f>SUMPRODUCT(E10:E43,R10:R43)</f>
        <v>968.84999999999991</v>
      </c>
      <c r="F8" s="5">
        <f>SUMPRODUCT(F10:F43,R10:R43)</f>
        <v>745.48</v>
      </c>
      <c r="G8" s="5">
        <f>SUMPRODUCT(G10:G43,R10:R43)</f>
        <v>1050.98</v>
      </c>
      <c r="H8" s="5">
        <f>SUMPRODUCT(H10:H43,R10:R43)</f>
        <v>1164.7</v>
      </c>
      <c r="I8" s="5">
        <f>SUMPRODUCT(I10:I43,R10:R43)</f>
        <v>1470.2</v>
      </c>
      <c r="J8" s="5">
        <f>SUMPRODUCT(J10:J43,R10:R43)</f>
        <v>1391.2</v>
      </c>
      <c r="K8" s="5">
        <f>SUMPRODUCT(K10:K43,R10:R43)</f>
        <v>1696.7</v>
      </c>
      <c r="L8" s="5">
        <f>SUMPRODUCT(L10:L43,R10:R43)</f>
        <v>1687.8</v>
      </c>
      <c r="M8" s="5">
        <f>SUMPRODUCT(M10:M43,R10:R43)</f>
        <v>1993.3</v>
      </c>
      <c r="N8" s="5">
        <f>SUMPRODUCT(N10:N43,R10:R43)</f>
        <v>2018.55</v>
      </c>
      <c r="O8" s="5">
        <f>SUMPRODUCT(O10:O43,R10:R43)</f>
        <v>2324.0500000000002</v>
      </c>
      <c r="P8" s="5">
        <f>SUMPRODUCT(P10:P43,R10:R43)</f>
        <v>2635.0499999999997</v>
      </c>
      <c r="Q8" s="5">
        <f>SUMPRODUCT(Q10:Q43,R10:R43)</f>
        <v>2635.0499999999997</v>
      </c>
    </row>
    <row r="9" spans="1:18" s="1" customFormat="1" ht="60" x14ac:dyDescent="0.25">
      <c r="B9" s="1" t="s">
        <v>42</v>
      </c>
      <c r="C9" s="1" t="s">
        <v>43</v>
      </c>
      <c r="D9" s="2" t="s">
        <v>44</v>
      </c>
      <c r="E9" s="2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51</v>
      </c>
      <c r="L9" s="1" t="s">
        <v>52</v>
      </c>
      <c r="M9" s="1" t="s">
        <v>53</v>
      </c>
      <c r="N9" s="1" t="s">
        <v>54</v>
      </c>
      <c r="O9" s="1" t="s">
        <v>55</v>
      </c>
      <c r="P9" s="1" t="s">
        <v>56</v>
      </c>
      <c r="Q9" s="1" t="s">
        <v>57</v>
      </c>
      <c r="R9" s="1" t="s">
        <v>3</v>
      </c>
    </row>
    <row r="10" spans="1:18" x14ac:dyDescent="0.25">
      <c r="A10" s="3" t="s">
        <v>22</v>
      </c>
      <c r="B10" s="4">
        <v>1</v>
      </c>
      <c r="C10" s="4">
        <v>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5">
        <v>348.75</v>
      </c>
    </row>
    <row r="11" spans="1:18" x14ac:dyDescent="0.25">
      <c r="A11" s="3" t="s">
        <v>23</v>
      </c>
      <c r="B11" s="17"/>
      <c r="C11" s="17"/>
      <c r="D11" s="4">
        <v>1</v>
      </c>
      <c r="E11" s="4">
        <v>1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5">
        <v>415</v>
      </c>
    </row>
    <row r="12" spans="1:18" x14ac:dyDescent="0.25">
      <c r="A12" s="3" t="s">
        <v>24</v>
      </c>
      <c r="B12" s="17"/>
      <c r="C12" s="17"/>
      <c r="D12" s="17"/>
      <c r="E12" s="17"/>
      <c r="F12" s="4">
        <v>1</v>
      </c>
      <c r="G12" s="4">
        <v>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5">
        <v>460.13</v>
      </c>
    </row>
    <row r="13" spans="1:18" x14ac:dyDescent="0.25">
      <c r="A13" s="3" t="s">
        <v>25</v>
      </c>
      <c r="B13" s="17"/>
      <c r="C13" s="17"/>
      <c r="D13" s="17"/>
      <c r="E13" s="17"/>
      <c r="F13" s="17"/>
      <c r="G13" s="17"/>
      <c r="H13" s="4">
        <v>1</v>
      </c>
      <c r="I13" s="4">
        <v>1</v>
      </c>
      <c r="J13" s="17"/>
      <c r="K13" s="17"/>
      <c r="L13" s="17"/>
      <c r="M13" s="17"/>
      <c r="N13" s="17"/>
      <c r="O13" s="17"/>
      <c r="P13" s="17"/>
      <c r="Q13" s="17"/>
      <c r="R13" s="15">
        <v>898.75</v>
      </c>
    </row>
    <row r="14" spans="1:18" x14ac:dyDescent="0.25">
      <c r="A14" s="3" t="s">
        <v>26</v>
      </c>
      <c r="B14" s="17"/>
      <c r="C14" s="17"/>
      <c r="D14" s="17"/>
      <c r="E14" s="17"/>
      <c r="F14" s="17"/>
      <c r="G14" s="17"/>
      <c r="H14" s="17"/>
      <c r="I14" s="17"/>
      <c r="J14" s="4">
        <v>1</v>
      </c>
      <c r="K14" s="4">
        <v>1</v>
      </c>
      <c r="L14" s="17"/>
      <c r="M14" s="17"/>
      <c r="N14" s="17"/>
      <c r="O14" s="17"/>
      <c r="P14" s="17"/>
      <c r="Q14" s="17"/>
      <c r="R14" s="15">
        <v>760</v>
      </c>
    </row>
    <row r="15" spans="1:18" x14ac:dyDescent="0.25">
      <c r="A15" s="3" t="s">
        <v>27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4">
        <v>1</v>
      </c>
      <c r="M15" s="4">
        <v>1</v>
      </c>
      <c r="N15" s="17"/>
      <c r="O15" s="17"/>
      <c r="P15" s="17"/>
      <c r="Q15" s="17"/>
      <c r="R15" s="15">
        <v>1053</v>
      </c>
    </row>
    <row r="16" spans="1:18" x14ac:dyDescent="0.25">
      <c r="A16" s="3" t="s">
        <v>28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4">
        <v>1</v>
      </c>
      <c r="O16" s="4">
        <v>1</v>
      </c>
      <c r="P16" s="17"/>
      <c r="Q16" s="17"/>
      <c r="R16" s="15">
        <v>1383.75</v>
      </c>
    </row>
    <row r="17" spans="1:18" x14ac:dyDescent="0.25">
      <c r="A17" s="3" t="s">
        <v>29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4">
        <v>1</v>
      </c>
      <c r="Q17" s="4">
        <v>1</v>
      </c>
      <c r="R17" s="15">
        <v>2036.25</v>
      </c>
    </row>
    <row r="18" spans="1:18" x14ac:dyDescent="0.25">
      <c r="A18" s="6" t="s">
        <v>7</v>
      </c>
      <c r="B18" s="7">
        <v>1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15">
        <v>12</v>
      </c>
    </row>
    <row r="19" spans="1:18" ht="30" x14ac:dyDescent="0.25">
      <c r="A19" s="6" t="s">
        <v>8</v>
      </c>
      <c r="B19" s="7">
        <v>1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15">
        <v>23</v>
      </c>
    </row>
    <row r="20" spans="1:18" x14ac:dyDescent="0.25">
      <c r="A20" s="6" t="s">
        <v>9</v>
      </c>
      <c r="B20" s="7">
        <v>5</v>
      </c>
      <c r="C20" s="7">
        <v>5</v>
      </c>
      <c r="D20" s="7">
        <v>5</v>
      </c>
      <c r="E20" s="7">
        <v>5</v>
      </c>
      <c r="F20" s="7">
        <v>5</v>
      </c>
      <c r="G20" s="7">
        <v>5</v>
      </c>
      <c r="H20" s="7">
        <v>5</v>
      </c>
      <c r="I20" s="7">
        <v>5</v>
      </c>
      <c r="J20" s="7">
        <v>5</v>
      </c>
      <c r="K20" s="7">
        <v>5</v>
      </c>
      <c r="L20" s="7">
        <v>5</v>
      </c>
      <c r="M20" s="7">
        <v>5</v>
      </c>
      <c r="N20" s="7">
        <v>5</v>
      </c>
      <c r="O20" s="7">
        <v>5</v>
      </c>
      <c r="P20" s="7">
        <v>5</v>
      </c>
      <c r="Q20" s="7">
        <v>5</v>
      </c>
      <c r="R20" s="15">
        <v>1.2</v>
      </c>
    </row>
    <row r="21" spans="1:18" x14ac:dyDescent="0.25">
      <c r="A21" s="6" t="s">
        <v>10</v>
      </c>
      <c r="B21" s="7">
        <v>5</v>
      </c>
      <c r="C21" s="7">
        <v>5</v>
      </c>
      <c r="D21" s="7">
        <v>5</v>
      </c>
      <c r="E21" s="7">
        <v>5</v>
      </c>
      <c r="F21" s="7">
        <v>5</v>
      </c>
      <c r="G21" s="7">
        <v>5</v>
      </c>
      <c r="H21" s="7">
        <v>8</v>
      </c>
      <c r="I21" s="7">
        <v>8</v>
      </c>
      <c r="J21" s="7">
        <v>5</v>
      </c>
      <c r="K21" s="7">
        <v>5</v>
      </c>
      <c r="L21" s="7">
        <v>8</v>
      </c>
      <c r="M21" s="7">
        <v>8</v>
      </c>
      <c r="N21" s="7">
        <v>8</v>
      </c>
      <c r="O21" s="7">
        <v>8</v>
      </c>
      <c r="P21" s="7">
        <v>8</v>
      </c>
      <c r="Q21" s="7">
        <v>8</v>
      </c>
      <c r="R21" s="15">
        <v>1.2</v>
      </c>
    </row>
    <row r="22" spans="1:18" x14ac:dyDescent="0.25">
      <c r="A22" s="6" t="s">
        <v>11</v>
      </c>
      <c r="B22" s="7">
        <v>2</v>
      </c>
      <c r="C22" s="7">
        <v>2</v>
      </c>
      <c r="D22" s="7">
        <v>2</v>
      </c>
      <c r="E22" s="7">
        <v>2</v>
      </c>
      <c r="F22" s="7">
        <v>2</v>
      </c>
      <c r="G22" s="7">
        <v>2</v>
      </c>
      <c r="H22" s="7">
        <v>2</v>
      </c>
      <c r="I22" s="7">
        <v>2</v>
      </c>
      <c r="J22" s="7">
        <v>2</v>
      </c>
      <c r="K22" s="7">
        <v>2</v>
      </c>
      <c r="L22" s="7">
        <v>2</v>
      </c>
      <c r="M22" s="7">
        <v>2</v>
      </c>
      <c r="N22" s="7">
        <v>2</v>
      </c>
      <c r="O22" s="7">
        <v>2</v>
      </c>
      <c r="P22" s="7">
        <v>2</v>
      </c>
      <c r="Q22" s="7">
        <v>2</v>
      </c>
      <c r="R22" s="15">
        <v>4</v>
      </c>
    </row>
    <row r="23" spans="1:18" ht="30" x14ac:dyDescent="0.25">
      <c r="A23" s="6" t="s">
        <v>12</v>
      </c>
      <c r="B23" s="7">
        <v>2</v>
      </c>
      <c r="C23" s="7">
        <v>2</v>
      </c>
      <c r="D23" s="7">
        <v>2</v>
      </c>
      <c r="E23" s="7">
        <v>2</v>
      </c>
      <c r="F23" s="7">
        <v>2</v>
      </c>
      <c r="G23" s="7">
        <v>2</v>
      </c>
      <c r="H23" s="7">
        <v>2</v>
      </c>
      <c r="I23" s="7">
        <v>2</v>
      </c>
      <c r="J23" s="7">
        <v>2</v>
      </c>
      <c r="K23" s="7">
        <v>2</v>
      </c>
      <c r="L23" s="7">
        <v>2</v>
      </c>
      <c r="M23" s="7">
        <v>2</v>
      </c>
      <c r="N23" s="7">
        <v>2</v>
      </c>
      <c r="O23" s="7">
        <v>2</v>
      </c>
      <c r="P23" s="7">
        <v>2</v>
      </c>
      <c r="Q23" s="7">
        <v>2</v>
      </c>
      <c r="R23" s="15">
        <v>0.85</v>
      </c>
    </row>
    <row r="24" spans="1:18" ht="45" x14ac:dyDescent="0.25">
      <c r="A24" s="6" t="s">
        <v>13</v>
      </c>
      <c r="B24" s="7">
        <v>1</v>
      </c>
      <c r="C24" s="7">
        <v>1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10</v>
      </c>
      <c r="K24" s="7">
        <v>10</v>
      </c>
      <c r="L24" s="7">
        <v>10</v>
      </c>
      <c r="M24" s="7">
        <v>10</v>
      </c>
      <c r="N24" s="7">
        <v>10</v>
      </c>
      <c r="O24" s="7">
        <v>10</v>
      </c>
      <c r="P24" s="7">
        <v>10</v>
      </c>
      <c r="Q24" s="7">
        <v>10</v>
      </c>
      <c r="R24" s="15">
        <v>1.4</v>
      </c>
    </row>
    <row r="25" spans="1:18" x14ac:dyDescent="0.25">
      <c r="A25" s="6" t="s">
        <v>14</v>
      </c>
      <c r="B25" s="19">
        <v>1</v>
      </c>
      <c r="C25" s="19">
        <v>1</v>
      </c>
      <c r="D25" s="19">
        <v>1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19">
        <v>1</v>
      </c>
      <c r="R25" s="15">
        <v>4</v>
      </c>
    </row>
    <row r="26" spans="1:18" ht="30" x14ac:dyDescent="0.25">
      <c r="A26" s="18" t="s">
        <v>15</v>
      </c>
      <c r="B26" s="7">
        <v>2</v>
      </c>
      <c r="C26" s="7">
        <v>2</v>
      </c>
      <c r="D26" s="7">
        <v>2</v>
      </c>
      <c r="E26" s="7">
        <v>2</v>
      </c>
      <c r="F26" s="7">
        <v>3</v>
      </c>
      <c r="G26" s="7">
        <v>3</v>
      </c>
      <c r="H26" s="7">
        <v>2</v>
      </c>
      <c r="I26" s="7">
        <v>2</v>
      </c>
      <c r="J26" s="7">
        <v>2</v>
      </c>
      <c r="K26" s="7">
        <v>2</v>
      </c>
      <c r="L26" s="7">
        <v>2</v>
      </c>
      <c r="M26" s="7">
        <v>2</v>
      </c>
      <c r="N26" s="7">
        <v>2</v>
      </c>
      <c r="O26" s="7">
        <v>2</v>
      </c>
      <c r="P26" s="7">
        <v>4</v>
      </c>
      <c r="Q26" s="7">
        <v>4</v>
      </c>
      <c r="R26" s="15">
        <v>37</v>
      </c>
    </row>
    <row r="27" spans="1:18" ht="30" x14ac:dyDescent="0.25">
      <c r="A27" s="18" t="s">
        <v>16</v>
      </c>
      <c r="B27" s="7">
        <v>1</v>
      </c>
      <c r="C27" s="7">
        <v>1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3</v>
      </c>
      <c r="K27" s="7">
        <v>3</v>
      </c>
      <c r="L27" s="7">
        <v>3</v>
      </c>
      <c r="M27" s="7">
        <v>3</v>
      </c>
      <c r="N27" s="7">
        <v>3</v>
      </c>
      <c r="O27" s="7">
        <v>3</v>
      </c>
      <c r="P27" s="7">
        <v>3</v>
      </c>
      <c r="Q27" s="7">
        <v>3</v>
      </c>
      <c r="R27" s="15">
        <v>58</v>
      </c>
    </row>
    <row r="28" spans="1:18" ht="30" x14ac:dyDescent="0.25">
      <c r="A28" s="18" t="s">
        <v>17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/>
      <c r="K28" s="7"/>
      <c r="L28" s="21"/>
      <c r="M28" s="21"/>
      <c r="N28" s="21"/>
      <c r="O28" s="21"/>
      <c r="P28" s="21"/>
      <c r="Q28" s="21"/>
      <c r="R28" s="15">
        <v>8.5</v>
      </c>
    </row>
    <row r="29" spans="1:18" ht="30" x14ac:dyDescent="0.25">
      <c r="A29" s="18" t="s">
        <v>18</v>
      </c>
      <c r="B29" s="7">
        <v>1</v>
      </c>
      <c r="C29" s="7">
        <v>1</v>
      </c>
      <c r="D29" s="7">
        <v>1</v>
      </c>
      <c r="E29" s="7">
        <v>1</v>
      </c>
      <c r="F29" s="20">
        <v>1</v>
      </c>
      <c r="G29" s="20">
        <v>1</v>
      </c>
      <c r="H29" s="20">
        <v>1</v>
      </c>
      <c r="I29" s="20">
        <v>1</v>
      </c>
      <c r="J29" s="7">
        <v>2</v>
      </c>
      <c r="K29" s="7">
        <v>2</v>
      </c>
      <c r="L29" s="7">
        <v>2</v>
      </c>
      <c r="M29" s="7">
        <v>2</v>
      </c>
      <c r="N29" s="7">
        <v>2</v>
      </c>
      <c r="O29" s="7">
        <v>2</v>
      </c>
      <c r="P29" s="7">
        <v>2</v>
      </c>
      <c r="Q29" s="7">
        <v>2</v>
      </c>
      <c r="R29" s="15">
        <v>13</v>
      </c>
    </row>
    <row r="30" spans="1:18" ht="30" x14ac:dyDescent="0.25">
      <c r="A30" s="18" t="s">
        <v>19</v>
      </c>
      <c r="B30" s="7">
        <v>1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15">
        <v>15</v>
      </c>
    </row>
    <row r="31" spans="1:18" x14ac:dyDescent="0.25">
      <c r="A31" s="18" t="s">
        <v>20</v>
      </c>
      <c r="B31" s="7">
        <v>5</v>
      </c>
      <c r="C31" s="7">
        <v>5</v>
      </c>
      <c r="D31" s="7">
        <v>5</v>
      </c>
      <c r="E31" s="7">
        <v>5</v>
      </c>
      <c r="F31" s="7">
        <v>5</v>
      </c>
      <c r="G31" s="7">
        <v>5</v>
      </c>
      <c r="H31" s="7">
        <v>5</v>
      </c>
      <c r="I31" s="7">
        <v>5</v>
      </c>
      <c r="J31" s="7">
        <v>10</v>
      </c>
      <c r="K31" s="7">
        <v>10</v>
      </c>
      <c r="L31" s="7">
        <v>10</v>
      </c>
      <c r="M31" s="7">
        <v>10</v>
      </c>
      <c r="N31" s="7">
        <v>10</v>
      </c>
      <c r="O31" s="7">
        <v>10</v>
      </c>
      <c r="P31" s="7">
        <v>10</v>
      </c>
      <c r="Q31" s="7">
        <v>10</v>
      </c>
      <c r="R31" s="15">
        <v>0.75</v>
      </c>
    </row>
    <row r="32" spans="1:18" x14ac:dyDescent="0.25">
      <c r="A32" s="18" t="s">
        <v>21</v>
      </c>
      <c r="B32" s="7">
        <v>4</v>
      </c>
      <c r="C32" s="7">
        <v>4</v>
      </c>
      <c r="D32" s="7">
        <v>4</v>
      </c>
      <c r="E32" s="7">
        <v>4</v>
      </c>
      <c r="F32" s="7">
        <v>4</v>
      </c>
      <c r="G32" s="7">
        <v>4</v>
      </c>
      <c r="H32" s="7">
        <v>8</v>
      </c>
      <c r="I32" s="7">
        <v>8</v>
      </c>
      <c r="J32" s="7">
        <v>4</v>
      </c>
      <c r="K32" s="7">
        <v>4</v>
      </c>
      <c r="L32" s="7">
        <v>4</v>
      </c>
      <c r="M32" s="7">
        <v>4</v>
      </c>
      <c r="N32" s="7">
        <v>4</v>
      </c>
      <c r="O32" s="7">
        <v>4</v>
      </c>
      <c r="P32" s="7">
        <v>8</v>
      </c>
      <c r="Q32" s="7">
        <v>8</v>
      </c>
      <c r="R32" s="15">
        <v>3.5</v>
      </c>
    </row>
    <row r="33" spans="1:18" ht="30" x14ac:dyDescent="0.25">
      <c r="A33" s="18" t="s">
        <v>30</v>
      </c>
      <c r="B33" s="17"/>
      <c r="C33" s="17"/>
      <c r="D33" s="17"/>
      <c r="E33" s="17"/>
      <c r="F33" s="17"/>
      <c r="G33" s="17"/>
      <c r="H33" s="17"/>
      <c r="I33" s="1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/>
      <c r="Q33" s="7"/>
      <c r="R33" s="15">
        <v>124</v>
      </c>
    </row>
    <row r="34" spans="1:18" x14ac:dyDescent="0.25">
      <c r="A34" s="18" t="s">
        <v>32</v>
      </c>
      <c r="B34" s="17"/>
      <c r="C34" s="17"/>
      <c r="D34" s="17"/>
      <c r="E34" s="17"/>
      <c r="F34" s="17"/>
      <c r="G34" s="17"/>
      <c r="H34" s="17"/>
      <c r="I34" s="17"/>
      <c r="J34" s="7">
        <v>2</v>
      </c>
      <c r="K34" s="7">
        <v>2</v>
      </c>
      <c r="L34" s="7">
        <v>2</v>
      </c>
      <c r="M34" s="7">
        <v>2</v>
      </c>
      <c r="N34" s="7">
        <v>2</v>
      </c>
      <c r="O34" s="7">
        <v>2</v>
      </c>
      <c r="P34" s="7">
        <v>2</v>
      </c>
      <c r="Q34" s="7">
        <v>2</v>
      </c>
      <c r="R34" s="15">
        <v>34</v>
      </c>
    </row>
    <row r="35" spans="1:18" x14ac:dyDescent="0.25">
      <c r="A35" s="18" t="s">
        <v>33</v>
      </c>
      <c r="B35" s="17"/>
      <c r="C35" s="17"/>
      <c r="D35" s="17"/>
      <c r="E35" s="17"/>
      <c r="F35" s="17"/>
      <c r="G35" s="17"/>
      <c r="H35" s="17"/>
      <c r="I35" s="17"/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15">
        <v>12</v>
      </c>
    </row>
    <row r="36" spans="1:18" x14ac:dyDescent="0.25">
      <c r="A36" s="18" t="s">
        <v>31</v>
      </c>
      <c r="B36" s="17"/>
      <c r="C36" s="17"/>
      <c r="D36" s="17"/>
      <c r="E36" s="17"/>
      <c r="F36" s="17"/>
      <c r="G36" s="17"/>
      <c r="H36" s="17"/>
      <c r="I36" s="17"/>
      <c r="J36" s="7">
        <v>4</v>
      </c>
      <c r="K36" s="7">
        <v>4</v>
      </c>
      <c r="L36" s="7">
        <v>4</v>
      </c>
      <c r="M36" s="7">
        <v>4</v>
      </c>
      <c r="N36" s="7">
        <v>4</v>
      </c>
      <c r="O36" s="7">
        <v>4</v>
      </c>
      <c r="P36" s="7">
        <v>4</v>
      </c>
      <c r="Q36" s="7">
        <v>4</v>
      </c>
      <c r="R36" s="15">
        <v>8</v>
      </c>
    </row>
    <row r="37" spans="1:18" ht="30" x14ac:dyDescent="0.25">
      <c r="A37" s="18" t="s">
        <v>34</v>
      </c>
      <c r="B37" s="17"/>
      <c r="C37" s="17"/>
      <c r="D37" s="17"/>
      <c r="E37" s="17"/>
      <c r="F37" s="17"/>
      <c r="G37" s="17"/>
      <c r="H37" s="17"/>
      <c r="I37" s="17"/>
      <c r="J37" s="7">
        <v>2</v>
      </c>
      <c r="K37" s="7">
        <v>2</v>
      </c>
      <c r="L37" s="7">
        <v>2</v>
      </c>
      <c r="M37" s="7">
        <v>2</v>
      </c>
      <c r="N37" s="7">
        <v>2</v>
      </c>
      <c r="O37" s="7">
        <v>2</v>
      </c>
      <c r="P37" s="7">
        <v>2</v>
      </c>
      <c r="Q37" s="7">
        <v>2</v>
      </c>
      <c r="R37" s="15">
        <v>2.2999999999999998</v>
      </c>
    </row>
    <row r="38" spans="1:18" ht="30" x14ac:dyDescent="0.25">
      <c r="A38" s="18" t="s">
        <v>35</v>
      </c>
      <c r="B38" s="17"/>
      <c r="C38" s="17"/>
      <c r="D38" s="17"/>
      <c r="E38" s="17"/>
      <c r="F38" s="17"/>
      <c r="G38" s="17"/>
      <c r="H38" s="17"/>
      <c r="I38" s="17"/>
      <c r="J38" s="7">
        <v>2</v>
      </c>
      <c r="K38" s="7">
        <v>2</v>
      </c>
      <c r="L38" s="7">
        <v>2</v>
      </c>
      <c r="M38" s="7">
        <v>2</v>
      </c>
      <c r="N38" s="7">
        <v>2</v>
      </c>
      <c r="O38" s="7">
        <v>2</v>
      </c>
      <c r="P38" s="7">
        <v>2</v>
      </c>
      <c r="Q38" s="7">
        <v>2</v>
      </c>
      <c r="R38" s="15">
        <v>2.7</v>
      </c>
    </row>
    <row r="39" spans="1:18" ht="30" x14ac:dyDescent="0.25">
      <c r="A39" s="18" t="s">
        <v>36</v>
      </c>
      <c r="B39" s="17"/>
      <c r="C39" s="7">
        <v>1</v>
      </c>
      <c r="D39" s="17"/>
      <c r="E39" s="7">
        <v>1</v>
      </c>
      <c r="F39" s="17"/>
      <c r="G39" s="7">
        <v>1</v>
      </c>
      <c r="H39" s="17"/>
      <c r="I39" s="7">
        <v>1</v>
      </c>
      <c r="J39" s="17"/>
      <c r="K39" s="7">
        <v>1</v>
      </c>
      <c r="L39" s="17"/>
      <c r="M39" s="7">
        <v>1</v>
      </c>
      <c r="N39" s="17"/>
      <c r="O39" s="7">
        <v>1</v>
      </c>
      <c r="P39" s="17"/>
      <c r="Q39" s="17"/>
      <c r="R39" s="15">
        <v>45</v>
      </c>
    </row>
    <row r="40" spans="1:18" ht="30" x14ac:dyDescent="0.25">
      <c r="A40" s="18" t="s">
        <v>37</v>
      </c>
      <c r="B40" s="17"/>
      <c r="C40" s="7">
        <v>1</v>
      </c>
      <c r="D40" s="17"/>
      <c r="E40" s="7">
        <v>1</v>
      </c>
      <c r="F40" s="17"/>
      <c r="G40" s="7">
        <v>1</v>
      </c>
      <c r="H40" s="17"/>
      <c r="I40" s="7">
        <v>1</v>
      </c>
      <c r="J40" s="17"/>
      <c r="K40" s="7">
        <v>1</v>
      </c>
      <c r="L40" s="17"/>
      <c r="M40" s="7">
        <v>1</v>
      </c>
      <c r="N40" s="17"/>
      <c r="O40" s="7">
        <v>1</v>
      </c>
      <c r="P40" s="17"/>
      <c r="Q40" s="17"/>
      <c r="R40" s="15">
        <v>156</v>
      </c>
    </row>
    <row r="41" spans="1:18" x14ac:dyDescent="0.25">
      <c r="A41" s="18" t="s">
        <v>38</v>
      </c>
      <c r="B41" s="17"/>
      <c r="C41" s="7">
        <v>1</v>
      </c>
      <c r="D41" s="17"/>
      <c r="E41" s="7">
        <v>1</v>
      </c>
      <c r="F41" s="17"/>
      <c r="G41" s="7">
        <v>1</v>
      </c>
      <c r="H41" s="17"/>
      <c r="I41" s="7">
        <v>1</v>
      </c>
      <c r="J41" s="17"/>
      <c r="K41" s="7">
        <v>1</v>
      </c>
      <c r="L41" s="17"/>
      <c r="M41" s="7">
        <v>1</v>
      </c>
      <c r="N41" s="17"/>
      <c r="O41" s="7">
        <v>1</v>
      </c>
      <c r="P41" s="17"/>
      <c r="Q41" s="17"/>
      <c r="R41" s="15">
        <v>12</v>
      </c>
    </row>
    <row r="42" spans="1:18" x14ac:dyDescent="0.25">
      <c r="A42" s="18" t="s">
        <v>39</v>
      </c>
      <c r="B42" s="17"/>
      <c r="C42" s="7">
        <v>30</v>
      </c>
      <c r="D42" s="17"/>
      <c r="E42" s="7">
        <v>30</v>
      </c>
      <c r="F42" s="17"/>
      <c r="G42" s="7">
        <v>30</v>
      </c>
      <c r="H42" s="17"/>
      <c r="I42" s="7">
        <v>30</v>
      </c>
      <c r="J42" s="17"/>
      <c r="K42" s="7">
        <v>30</v>
      </c>
      <c r="L42" s="17"/>
      <c r="M42" s="7">
        <v>30</v>
      </c>
      <c r="N42" s="17"/>
      <c r="O42" s="7">
        <v>30</v>
      </c>
      <c r="P42" s="17"/>
      <c r="Q42" s="17"/>
      <c r="R42" s="15">
        <v>2.85</v>
      </c>
    </row>
    <row r="43" spans="1:18" x14ac:dyDescent="0.25">
      <c r="A43" s="18" t="s">
        <v>0</v>
      </c>
      <c r="B43" s="17"/>
      <c r="C43" s="7">
        <v>1</v>
      </c>
      <c r="D43" s="17"/>
      <c r="E43" s="7">
        <v>1</v>
      </c>
      <c r="F43" s="17"/>
      <c r="G43" s="7">
        <v>1</v>
      </c>
      <c r="H43" s="17"/>
      <c r="I43" s="7">
        <v>1</v>
      </c>
      <c r="J43" s="17"/>
      <c r="K43" s="7">
        <v>1</v>
      </c>
      <c r="L43" s="17"/>
      <c r="M43" s="7">
        <v>1</v>
      </c>
      <c r="N43" s="17"/>
      <c r="O43" s="7">
        <v>1</v>
      </c>
      <c r="P43" s="17"/>
      <c r="Q43" s="17"/>
      <c r="R43" s="15">
        <v>7</v>
      </c>
    </row>
    <row r="44" spans="1:18" x14ac:dyDescent="0.25">
      <c r="A44" s="16" t="s">
        <v>40</v>
      </c>
      <c r="B44" s="9">
        <f>SUMPRODUCT(B10:B43,R10:R43)</f>
        <v>597.09999999999991</v>
      </c>
      <c r="C44" s="9">
        <f>SUMPRODUCT(C10:C43,R10:R43)</f>
        <v>902.59999999999991</v>
      </c>
      <c r="D44" s="9">
        <f>SUMPRODUCT(D10:D43,R10:R43)</f>
        <v>663.34999999999991</v>
      </c>
      <c r="E44" s="9">
        <f>SUMPRODUCT(E10:E43,R10:R43)</f>
        <v>968.84999999999991</v>
      </c>
      <c r="F44" s="9">
        <f>SUMPRODUCT(F10:F43,R10:R43)</f>
        <v>745.48</v>
      </c>
      <c r="G44" s="9">
        <f>SUMPRODUCT(G10:G43,R10:R43)</f>
        <v>1050.98</v>
      </c>
      <c r="H44" s="9">
        <f>SUMPRODUCT(H10:H43,R10:R43)</f>
        <v>1164.7</v>
      </c>
      <c r="I44" s="9">
        <f>SUMPRODUCT(I10:I43,R10:R43)</f>
        <v>1470.2</v>
      </c>
      <c r="J44" s="9">
        <f>SUMPRODUCT(J10:J43,R10:R43)</f>
        <v>1391.2</v>
      </c>
      <c r="K44" s="9">
        <f>SUMPRODUCT(K10:K43,R10:R43)</f>
        <v>1696.7</v>
      </c>
      <c r="L44" s="9">
        <f>SUMPRODUCT(L10:L43,R10:R43)</f>
        <v>1687.8</v>
      </c>
      <c r="M44" s="9">
        <f>SUMPRODUCT(M10:M43,R10:R43)</f>
        <v>1993.3</v>
      </c>
      <c r="N44" s="9">
        <f>SUMPRODUCT(N10:N43,R10:R43)</f>
        <v>2018.55</v>
      </c>
      <c r="O44" s="9">
        <f>SUMPRODUCT(O10:O43,R10:R43)</f>
        <v>2324.0500000000002</v>
      </c>
      <c r="P44" s="9">
        <f>SUMPRODUCT(P10:P43,R10:R43)</f>
        <v>2635.0499999999997</v>
      </c>
      <c r="Q44" s="9">
        <f>SUMPRODUCT(Q10:Q43,R10:R43)</f>
        <v>2635.0499999999997</v>
      </c>
      <c r="R44" s="15"/>
    </row>
    <row r="45" spans="1:18" ht="30" x14ac:dyDescent="0.25">
      <c r="A45" s="16" t="s">
        <v>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5"/>
    </row>
    <row r="46" spans="1:18" ht="75" x14ac:dyDescent="0.25">
      <c r="A46" s="8" t="s">
        <v>1</v>
      </c>
      <c r="B46" s="9">
        <f>5%*B8</f>
        <v>29.854999999999997</v>
      </c>
      <c r="C46" s="9">
        <f>5%*C8</f>
        <v>45.129999999999995</v>
      </c>
      <c r="D46" s="9">
        <f t="shared" ref="D46:P46" si="0">5%*D8</f>
        <v>33.167499999999997</v>
      </c>
      <c r="E46" s="9">
        <f t="shared" ref="E46" si="1">5%*E8</f>
        <v>48.442499999999995</v>
      </c>
      <c r="F46" s="9">
        <f t="shared" si="0"/>
        <v>37.274000000000001</v>
      </c>
      <c r="G46" s="9">
        <f t="shared" ref="G46" si="2">5%*G8</f>
        <v>52.549000000000007</v>
      </c>
      <c r="H46" s="9">
        <f t="shared" si="0"/>
        <v>58.235000000000007</v>
      </c>
      <c r="I46" s="9">
        <f t="shared" ref="I46" si="3">5%*I8</f>
        <v>73.510000000000005</v>
      </c>
      <c r="J46" s="9">
        <f t="shared" si="0"/>
        <v>69.56</v>
      </c>
      <c r="K46" s="9">
        <f t="shared" ref="K46" si="4">5%*K8</f>
        <v>84.835000000000008</v>
      </c>
      <c r="L46" s="9">
        <f t="shared" si="0"/>
        <v>84.39</v>
      </c>
      <c r="M46" s="9">
        <f t="shared" ref="M46" si="5">5%*M8</f>
        <v>99.665000000000006</v>
      </c>
      <c r="N46" s="9">
        <f t="shared" si="0"/>
        <v>100.92750000000001</v>
      </c>
      <c r="O46" s="9">
        <f t="shared" ref="O46" si="6">5%*O8</f>
        <v>116.20250000000001</v>
      </c>
      <c r="P46" s="9">
        <f t="shared" si="0"/>
        <v>131.7525</v>
      </c>
      <c r="Q46" s="9">
        <f t="shared" ref="Q46" si="7">5%*Q8</f>
        <v>131.7525</v>
      </c>
      <c r="R46" s="8"/>
    </row>
    <row r="47" spans="1:18" ht="45" x14ac:dyDescent="0.25">
      <c r="A47" s="10" t="s">
        <v>41</v>
      </c>
      <c r="B47" s="11">
        <f>30%*(B46+B8)</f>
        <v>188.08649999999997</v>
      </c>
      <c r="C47" s="11">
        <f>30%*(C46+C8)</f>
        <v>284.31899999999996</v>
      </c>
      <c r="D47" s="11">
        <f t="shared" ref="D47:Q47" si="8">30%*(D46+D8)</f>
        <v>208.95524999999998</v>
      </c>
      <c r="E47" s="11">
        <f t="shared" si="8"/>
        <v>305.18774999999994</v>
      </c>
      <c r="F47" s="11">
        <f t="shared" si="8"/>
        <v>234.8262</v>
      </c>
      <c r="G47" s="11">
        <f t="shared" si="8"/>
        <v>331.05869999999999</v>
      </c>
      <c r="H47" s="11">
        <f t="shared" si="8"/>
        <v>366.88049999999998</v>
      </c>
      <c r="I47" s="11">
        <f t="shared" si="8"/>
        <v>463.113</v>
      </c>
      <c r="J47" s="11">
        <f t="shared" si="8"/>
        <v>438.22800000000001</v>
      </c>
      <c r="K47" s="11">
        <f t="shared" si="8"/>
        <v>534.46050000000002</v>
      </c>
      <c r="L47" s="11">
        <f t="shared" si="8"/>
        <v>531.65700000000004</v>
      </c>
      <c r="M47" s="11">
        <f t="shared" si="8"/>
        <v>627.8895</v>
      </c>
      <c r="N47" s="11">
        <f t="shared" si="8"/>
        <v>635.84325000000001</v>
      </c>
      <c r="O47" s="11">
        <f t="shared" si="8"/>
        <v>732.07574999999997</v>
      </c>
      <c r="P47" s="11">
        <f t="shared" si="8"/>
        <v>830.04074999999989</v>
      </c>
      <c r="Q47" s="11">
        <f t="shared" si="8"/>
        <v>830.04074999999989</v>
      </c>
      <c r="R47" s="10"/>
    </row>
    <row r="48" spans="1:18" x14ac:dyDescent="0.25">
      <c r="A48" s="10" t="s">
        <v>5</v>
      </c>
      <c r="B48" s="11">
        <v>10</v>
      </c>
      <c r="C48" s="11">
        <v>10</v>
      </c>
      <c r="D48" s="11">
        <v>10</v>
      </c>
      <c r="E48" s="11">
        <v>10</v>
      </c>
      <c r="F48" s="11">
        <v>10</v>
      </c>
      <c r="G48" s="11">
        <v>10</v>
      </c>
      <c r="H48" s="11">
        <v>10</v>
      </c>
      <c r="I48" s="11">
        <v>10</v>
      </c>
      <c r="J48" s="11">
        <v>10</v>
      </c>
      <c r="K48" s="11">
        <v>10</v>
      </c>
      <c r="L48" s="11">
        <v>10</v>
      </c>
      <c r="M48" s="11">
        <v>10</v>
      </c>
      <c r="N48" s="11">
        <v>10</v>
      </c>
      <c r="O48" s="11">
        <v>10</v>
      </c>
      <c r="P48" s="11">
        <v>10</v>
      </c>
      <c r="Q48" s="11">
        <v>10</v>
      </c>
      <c r="R48" s="10"/>
    </row>
    <row r="49" spans="1:18" ht="30" x14ac:dyDescent="0.25">
      <c r="A49" s="12" t="s">
        <v>2</v>
      </c>
      <c r="B49" s="13">
        <f>0.65*B48</f>
        <v>6.5</v>
      </c>
      <c r="C49" s="13">
        <f>0.65*C48</f>
        <v>6.5</v>
      </c>
      <c r="D49" s="13">
        <f t="shared" ref="D49:P49" si="9">0.65*D48</f>
        <v>6.5</v>
      </c>
      <c r="E49" s="13">
        <f t="shared" ref="E49" si="10">0.65*E48</f>
        <v>6.5</v>
      </c>
      <c r="F49" s="13">
        <f t="shared" si="9"/>
        <v>6.5</v>
      </c>
      <c r="G49" s="13">
        <f t="shared" ref="G49" si="11">0.65*G48</f>
        <v>6.5</v>
      </c>
      <c r="H49" s="13">
        <f t="shared" si="9"/>
        <v>6.5</v>
      </c>
      <c r="I49" s="13">
        <f t="shared" ref="I49" si="12">0.65*I48</f>
        <v>6.5</v>
      </c>
      <c r="J49" s="13">
        <f t="shared" si="9"/>
        <v>6.5</v>
      </c>
      <c r="K49" s="13">
        <f t="shared" ref="K49" si="13">0.65*K48</f>
        <v>6.5</v>
      </c>
      <c r="L49" s="13">
        <f t="shared" si="9"/>
        <v>6.5</v>
      </c>
      <c r="M49" s="13">
        <f t="shared" ref="M49" si="14">0.65*M48</f>
        <v>6.5</v>
      </c>
      <c r="N49" s="13">
        <f t="shared" si="9"/>
        <v>6.5</v>
      </c>
      <c r="O49" s="13">
        <f t="shared" ref="O49" si="15">0.65*O48</f>
        <v>6.5</v>
      </c>
      <c r="P49" s="13">
        <f t="shared" si="9"/>
        <v>6.5</v>
      </c>
      <c r="Q49" s="13">
        <f t="shared" ref="Q49" si="16">0.65*Q48</f>
        <v>6.5</v>
      </c>
      <c r="R49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2026-06-11T12:02:08Z</dcterms:modified>
</cp:coreProperties>
</file>