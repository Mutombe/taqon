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Calculator" sheetId="1" state="visible" r:id="rId1"/>
    <sheet xmlns:r="http://schemas.openxmlformats.org/officeDocument/2006/relationships" name="Area Distances" sheetId="2" state="visible" r:id="rId2"/>
    <sheet xmlns:r="http://schemas.openxmlformats.org/officeDocument/2006/relationships" name="Custom Distance" sheetId="3" state="visible" r:id="rId3"/>
    <sheet xmlns:r="http://schemas.openxmlformats.org/officeDocument/2006/relationships" name="Formula" sheetId="4" state="visible" r:id="rId4"/>
  </sheets>
  <definedNames>
    <definedName name="_xlnm._FilterDatabase" localSheetId="1" hidden="1">'Area Distances'!$A$1:$C$163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USD&quot; #,##0.00"/>
    <numFmt numFmtId="166" formatCode="0.00000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0D0D0D"/>
      <sz val="18"/>
    </font>
    <font>
      <name val="Calibri"/>
      <i val="1"/>
      <color rgb="006B7280"/>
      <sz val="9"/>
    </font>
    <font>
      <name val="Calibri"/>
      <b val="1"/>
      <color rgb="00F26522"/>
      <sz val="12"/>
    </font>
    <font>
      <name val="Calibri"/>
      <color rgb="000D0D0D"/>
      <sz val="11"/>
    </font>
    <font>
      <name val="Calibri"/>
      <b val="1"/>
      <color rgb="001A56DB"/>
      <sz val="11"/>
    </font>
    <font>
      <name val="Calibri"/>
      <b val="1"/>
      <color rgb="000D0D0D"/>
      <sz val="11"/>
    </font>
    <font>
      <name val="Calibri"/>
      <b val="1"/>
      <color rgb="00FFFFFF"/>
      <sz val="11"/>
    </font>
    <font>
      <name val="Calibri"/>
      <b val="1"/>
      <color rgb="00F26522"/>
      <sz val="14"/>
    </font>
  </fonts>
  <fills count="7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FCEFE6"/>
      </patternFill>
    </fill>
    <fill>
      <patternFill patternType="solid">
        <fgColor rgb="00FFFBF5"/>
      </patternFill>
    </fill>
    <fill>
      <patternFill patternType="solid">
        <fgColor rgb="00F26522"/>
      </patternFill>
    </fill>
    <fill>
      <patternFill patternType="solid">
        <fgColor rgb="000D0D0D"/>
      </patternFill>
    </fill>
  </fills>
  <borders count="2">
    <border>
      <left/>
      <right/>
      <top/>
      <bottom/>
      <diagonal/>
    </border>
    <border>
      <left style="thin">
        <color rgb="00E5E0D8"/>
      </left>
      <right style="thin">
        <color rgb="00E5E0D8"/>
      </right>
      <top style="thin">
        <color rgb="00E5E0D8"/>
      </top>
      <bottom style="thin">
        <color rgb="00E5E0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165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0" fillId="4" borderId="0" pivotButton="0" quotePrefix="0" xfId="0"/>
    <xf numFmtId="1" fontId="0" fillId="4" borderId="0" pivotButton="0" quotePrefix="0" xfId="0"/>
    <xf numFmtId="1" fontId="0" fillId="0" borderId="0" pivotButton="0" quotePrefix="0" xfId="0"/>
    <xf numFmtId="166" fontId="4" fillId="3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46" customWidth="1" min="4" max="4"/>
  </cols>
  <sheetData>
    <row r="2">
      <c r="B2" s="1" t="inlineStr">
        <is>
          <t>TAQON ELECTRICO — Quote Calculator</t>
        </is>
      </c>
    </row>
    <row r="3">
      <c r="B3" s="2" t="inlineStr">
        <is>
          <t>Same engine the website uses. Enter the equipment cost and pick the installation area; everything else computes automatically.</t>
        </is>
      </c>
    </row>
    <row r="5">
      <c r="B5" s="3" t="inlineStr">
        <is>
          <t>RATES  (adjust only if pricing policy changes)</t>
        </is>
      </c>
    </row>
    <row r="6">
      <c r="B6" s="4" t="inlineStr">
        <is>
          <t>Sundries rate (% of materials)</t>
        </is>
      </c>
      <c r="C6" s="5" t="n">
        <v>0.005</v>
      </c>
    </row>
    <row r="7">
      <c r="B7" s="4" t="inlineStr">
        <is>
          <t>Labour rate (% of materials + sundries)</t>
        </is>
      </c>
      <c r="C7" s="5" t="n">
        <v>0.08</v>
      </c>
    </row>
    <row r="8">
      <c r="B8" s="4" t="inlineStr">
        <is>
          <t>Transport rate (USD per km from Harare HQ)</t>
        </is>
      </c>
      <c r="C8" s="6" t="n">
        <v>0.65</v>
      </c>
    </row>
    <row r="10">
      <c r="B10" s="3" t="inlineStr">
        <is>
          <t>INPUTS</t>
        </is>
      </c>
    </row>
    <row r="11">
      <c r="B11" s="7" t="inlineStr">
        <is>
          <t>Equipment / material cost (USD)</t>
        </is>
      </c>
      <c r="C11" s="6" t="n">
        <v>0</v>
      </c>
      <c r="D11" s="2" t="inlineStr">
        <is>
          <t>← enter the sum of all component prices</t>
        </is>
      </c>
    </row>
    <row r="12">
      <c r="B12" s="7" t="inlineStr">
        <is>
          <t>Installation area</t>
        </is>
      </c>
      <c r="C12" s="8" t="inlineStr">
        <is>
          <t>Bulawayo CBD</t>
        </is>
      </c>
      <c r="D12" s="2" t="inlineStr">
        <is>
          <t>← pick from the list (drop-down)</t>
        </is>
      </c>
    </row>
    <row r="13">
      <c r="B13" s="4" t="inlineStr">
        <is>
          <t>Distance from HQ (km)</t>
        </is>
      </c>
      <c r="C13" s="9">
        <f>IFERROR(VLOOKUP(C12,'Area Distances'!$A:$C,3,FALSE),"")</f>
        <v/>
      </c>
      <c r="D13" s="2" t="inlineStr">
        <is>
          <t>auto-filled from the selected area</t>
        </is>
      </c>
    </row>
    <row r="14">
      <c r="B14" s="4" t="inlineStr">
        <is>
          <t>Manual distance override (km)</t>
        </is>
      </c>
      <c r="C14" s="10" t="n"/>
      <c r="D14" s="2" t="inlineStr">
        <is>
          <t>optional — only if the area is not listed (see Custom Distance tab)</t>
        </is>
      </c>
    </row>
    <row r="15">
      <c r="B15" s="7" t="inlineStr">
        <is>
          <t>Distance used</t>
        </is>
      </c>
      <c r="C15" s="11">
        <f>IF(C14&lt;&gt;"",C14,C13)</f>
        <v/>
      </c>
    </row>
    <row r="17">
      <c r="B17" s="3" t="inlineStr">
        <is>
          <t>QUOTE</t>
        </is>
      </c>
    </row>
    <row r="18">
      <c r="B18" s="12" t="inlineStr">
        <is>
          <t>Materials (equipment)</t>
        </is>
      </c>
      <c r="C18" s="13">
        <f>C11</f>
        <v/>
      </c>
    </row>
    <row r="19">
      <c r="B19" s="12" t="inlineStr">
        <is>
          <t>Sundries  (rate × materials)</t>
        </is>
      </c>
      <c r="C19" s="13">
        <f>C11*C6</f>
        <v/>
      </c>
    </row>
    <row r="20">
      <c r="B20" s="12" t="inlineStr">
        <is>
          <t>Labour  (rate × [materials + sundries])</t>
        </is>
      </c>
      <c r="C20" s="13">
        <f>(C11+C19)*C7</f>
        <v/>
      </c>
    </row>
    <row r="21">
      <c r="B21" s="12" t="inlineStr">
        <is>
          <t>Transport  (distance × rate/km)</t>
        </is>
      </c>
      <c r="C21" s="13">
        <f>C15*C8</f>
        <v/>
      </c>
    </row>
    <row r="22" ht="24" customHeight="1">
      <c r="B22" s="14" t="inlineStr">
        <is>
          <t>TOTAL</t>
        </is>
      </c>
      <c r="C22" s="15">
        <f>C18+C19+C20+C21</f>
        <v/>
      </c>
    </row>
    <row r="24">
      <c r="B24" s="2" t="inlineStr">
        <is>
          <t>On the customer PDF, Sundries is folded into the Materials line (Materials shown = Materials + Sundries). The Total is identical.</t>
        </is>
      </c>
    </row>
  </sheetData>
  <mergeCells count="1">
    <mergeCell ref="B24:D24"/>
  </mergeCells>
  <dataValidations count="1">
    <dataValidation sqref="C12" showDropDown="0" showInputMessage="0" showErrorMessage="0" allowBlank="0" type="list">
      <formula1>'Area Distances'!$A$2:$A$163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</cols>
  <sheetData>
    <row r="1" ht="20" customHeight="1">
      <c r="A1" s="16" t="inlineStr">
        <is>
          <t>Area</t>
        </is>
      </c>
      <c r="B1" s="16" t="inlineStr">
        <is>
          <t>Province</t>
        </is>
      </c>
      <c r="C1" s="16" t="inlineStr">
        <is>
          <t>Distance (km from HQ)</t>
        </is>
      </c>
    </row>
    <row r="2">
      <c r="A2" s="17" t="inlineStr">
        <is>
          <t>Bulawayo CBD</t>
        </is>
      </c>
      <c r="B2" s="17" t="inlineStr">
        <is>
          <t>Bulawayo</t>
        </is>
      </c>
      <c r="C2" s="18" t="n">
        <v>440</v>
      </c>
    </row>
    <row r="3">
      <c r="A3" t="inlineStr">
        <is>
          <t>Khumalo</t>
        </is>
      </c>
      <c r="B3" t="inlineStr">
        <is>
          <t>Bulawayo</t>
        </is>
      </c>
      <c r="C3" s="19" t="n">
        <v>441</v>
      </c>
    </row>
    <row r="4">
      <c r="A4" s="17" t="inlineStr">
        <is>
          <t>Northend</t>
        </is>
      </c>
      <c r="B4" s="17" t="inlineStr">
        <is>
          <t>Bulawayo</t>
        </is>
      </c>
      <c r="C4" s="18" t="n">
        <v>441</v>
      </c>
    </row>
    <row r="5">
      <c r="A5" t="inlineStr">
        <is>
          <t>Bradfield</t>
        </is>
      </c>
      <c r="B5" t="inlineStr">
        <is>
          <t>Bulawayo</t>
        </is>
      </c>
      <c r="C5" s="19" t="n">
        <v>442</v>
      </c>
    </row>
    <row r="6">
      <c r="A6" s="17" t="inlineStr">
        <is>
          <t>Famona</t>
        </is>
      </c>
      <c r="B6" s="17" t="inlineStr">
        <is>
          <t>Bulawayo</t>
        </is>
      </c>
      <c r="C6" s="18" t="n">
        <v>442</v>
      </c>
    </row>
    <row r="7">
      <c r="A7" t="inlineStr">
        <is>
          <t>Hillside (Byo)</t>
        </is>
      </c>
      <c r="B7" t="inlineStr">
        <is>
          <t>Bulawayo</t>
        </is>
      </c>
      <c r="C7" s="19" t="n">
        <v>443</v>
      </c>
    </row>
    <row r="8">
      <c r="A8" s="17" t="inlineStr">
        <is>
          <t>Luveve</t>
        </is>
      </c>
      <c r="B8" s="17" t="inlineStr">
        <is>
          <t>Bulawayo</t>
        </is>
      </c>
      <c r="C8" s="18" t="n">
        <v>445</v>
      </c>
    </row>
    <row r="9">
      <c r="A9" t="inlineStr">
        <is>
          <t>Pumula</t>
        </is>
      </c>
      <c r="B9" t="inlineStr">
        <is>
          <t>Bulawayo</t>
        </is>
      </c>
      <c r="C9" s="19" t="n">
        <v>446</v>
      </c>
    </row>
    <row r="10">
      <c r="A10" s="17" t="inlineStr">
        <is>
          <t>Nkulumane</t>
        </is>
      </c>
      <c r="B10" s="17" t="inlineStr">
        <is>
          <t>Bulawayo</t>
        </is>
      </c>
      <c r="C10" s="18" t="n">
        <v>447</v>
      </c>
    </row>
    <row r="11">
      <c r="A11" t="inlineStr">
        <is>
          <t>Cowdray Park</t>
        </is>
      </c>
      <c r="B11" t="inlineStr">
        <is>
          <t>Bulawayo</t>
        </is>
      </c>
      <c r="C11" s="19" t="n">
        <v>450</v>
      </c>
    </row>
    <row r="12">
      <c r="A12" s="17" t="inlineStr">
        <is>
          <t>Harare CBD</t>
        </is>
      </c>
      <c r="B12" s="17" t="inlineStr">
        <is>
          <t>Harare</t>
        </is>
      </c>
      <c r="C12" s="18" t="n">
        <v>0</v>
      </c>
    </row>
    <row r="13">
      <c r="A13" t="inlineStr">
        <is>
          <t>Avenues</t>
        </is>
      </c>
      <c r="B13" t="inlineStr">
        <is>
          <t>Harare</t>
        </is>
      </c>
      <c r="C13" s="19" t="n">
        <v>3</v>
      </c>
    </row>
    <row r="14">
      <c r="A14" s="17" t="inlineStr">
        <is>
          <t>Milton Park</t>
        </is>
      </c>
      <c r="B14" s="17" t="inlineStr">
        <is>
          <t>Harare</t>
        </is>
      </c>
      <c r="C14" s="18" t="n">
        <v>4</v>
      </c>
    </row>
    <row r="15">
      <c r="A15" t="inlineStr">
        <is>
          <t>Avondale</t>
        </is>
      </c>
      <c r="B15" t="inlineStr">
        <is>
          <t>Harare</t>
        </is>
      </c>
      <c r="C15" s="19" t="n">
        <v>5</v>
      </c>
    </row>
    <row r="16">
      <c r="A16" s="17" t="inlineStr">
        <is>
          <t>Eastlea</t>
        </is>
      </c>
      <c r="B16" s="17" t="inlineStr">
        <is>
          <t>Harare</t>
        </is>
      </c>
      <c r="C16" s="18" t="n">
        <v>5</v>
      </c>
    </row>
    <row r="17">
      <c r="A17" t="inlineStr">
        <is>
          <t>Mbare</t>
        </is>
      </c>
      <c r="B17" t="inlineStr">
        <is>
          <t>Harare</t>
        </is>
      </c>
      <c r="C17" s="19" t="n">
        <v>5</v>
      </c>
    </row>
    <row r="18">
      <c r="A18" s="17" t="inlineStr">
        <is>
          <t>Alexandra Park</t>
        </is>
      </c>
      <c r="B18" s="17" t="inlineStr">
        <is>
          <t>Harare</t>
        </is>
      </c>
      <c r="C18" s="18" t="n">
        <v>5</v>
      </c>
    </row>
    <row r="19">
      <c r="A19" t="inlineStr">
        <is>
          <t>Highlands</t>
        </is>
      </c>
      <c r="B19" t="inlineStr">
        <is>
          <t>Harare</t>
        </is>
      </c>
      <c r="C19" s="19" t="n">
        <v>6</v>
      </c>
    </row>
    <row r="20">
      <c r="A20" s="17" t="inlineStr">
        <is>
          <t>Belvedere</t>
        </is>
      </c>
      <c r="B20" s="17" t="inlineStr">
        <is>
          <t>Harare</t>
        </is>
      </c>
      <c r="C20" s="18" t="n">
        <v>6</v>
      </c>
    </row>
    <row r="21">
      <c r="A21" t="inlineStr">
        <is>
          <t>Strathaven</t>
        </is>
      </c>
      <c r="B21" t="inlineStr">
        <is>
          <t>Harare</t>
        </is>
      </c>
      <c r="C21" s="19" t="n">
        <v>6</v>
      </c>
    </row>
    <row r="22">
      <c r="A22" s="17" t="inlineStr">
        <is>
          <t>Newlands</t>
        </is>
      </c>
      <c r="B22" s="17" t="inlineStr">
        <is>
          <t>Harare</t>
        </is>
      </c>
      <c r="C22" s="18" t="n">
        <v>6</v>
      </c>
    </row>
    <row r="23">
      <c r="A23" t="inlineStr">
        <is>
          <t>Braeside</t>
        </is>
      </c>
      <c r="B23" t="inlineStr">
        <is>
          <t>Harare</t>
        </is>
      </c>
      <c r="C23" s="19" t="n">
        <v>6</v>
      </c>
    </row>
    <row r="24">
      <c r="A24" s="17" t="inlineStr">
        <is>
          <t>Emerald Hill</t>
        </is>
      </c>
      <c r="B24" s="17" t="inlineStr">
        <is>
          <t>Harare</t>
        </is>
      </c>
      <c r="C24" s="18" t="n">
        <v>7</v>
      </c>
    </row>
    <row r="25">
      <c r="A25" t="inlineStr">
        <is>
          <t>Cranborne</t>
        </is>
      </c>
      <c r="B25" t="inlineStr">
        <is>
          <t>Harare</t>
        </is>
      </c>
      <c r="C25" s="19" t="n">
        <v>7</v>
      </c>
    </row>
    <row r="26">
      <c r="A26" s="17" t="inlineStr">
        <is>
          <t>Hillside</t>
        </is>
      </c>
      <c r="B26" s="17" t="inlineStr">
        <is>
          <t>Harare</t>
        </is>
      </c>
      <c r="C26" s="18" t="n">
        <v>7</v>
      </c>
    </row>
    <row r="27">
      <c r="A27" t="inlineStr">
        <is>
          <t>Queensdale</t>
        </is>
      </c>
      <c r="B27" t="inlineStr">
        <is>
          <t>Harare</t>
        </is>
      </c>
      <c r="C27" s="19" t="n">
        <v>7</v>
      </c>
    </row>
    <row r="28">
      <c r="A28" s="17" t="inlineStr">
        <is>
          <t>Mount Pleasant</t>
        </is>
      </c>
      <c r="B28" s="17" t="inlineStr">
        <is>
          <t>Harare</t>
        </is>
      </c>
      <c r="C28" s="18" t="n">
        <v>8</v>
      </c>
    </row>
    <row r="29">
      <c r="A29" t="inlineStr">
        <is>
          <t>Hatfield</t>
        </is>
      </c>
      <c r="B29" t="inlineStr">
        <is>
          <t>Harare</t>
        </is>
      </c>
      <c r="C29" s="19" t="n">
        <v>8</v>
      </c>
    </row>
    <row r="30">
      <c r="A30" s="17" t="inlineStr">
        <is>
          <t>Sunningdale</t>
        </is>
      </c>
      <c r="B30" s="17" t="inlineStr">
        <is>
          <t>Harare</t>
        </is>
      </c>
      <c r="C30" s="18" t="n">
        <v>8</v>
      </c>
    </row>
    <row r="31">
      <c r="A31" t="inlineStr">
        <is>
          <t>Highfield</t>
        </is>
      </c>
      <c r="B31" t="inlineStr">
        <is>
          <t>Harare</t>
        </is>
      </c>
      <c r="C31" s="19" t="n">
        <v>8</v>
      </c>
    </row>
    <row r="32">
      <c r="A32" s="17" t="inlineStr">
        <is>
          <t>Gunhill</t>
        </is>
      </c>
      <c r="B32" s="17" t="inlineStr">
        <is>
          <t>Harare</t>
        </is>
      </c>
      <c r="C32" s="18" t="n">
        <v>9</v>
      </c>
    </row>
    <row r="33">
      <c r="A33" t="inlineStr">
        <is>
          <t>Greencroft</t>
        </is>
      </c>
      <c r="B33" t="inlineStr">
        <is>
          <t>Harare</t>
        </is>
      </c>
      <c r="C33" s="19" t="n">
        <v>9</v>
      </c>
    </row>
    <row r="34">
      <c r="A34" s="17" t="inlineStr">
        <is>
          <t>Avonlea</t>
        </is>
      </c>
      <c r="B34" s="17" t="inlineStr">
        <is>
          <t>Harare</t>
        </is>
      </c>
      <c r="C34" s="18" t="n">
        <v>9</v>
      </c>
    </row>
    <row r="35">
      <c r="A35" t="inlineStr">
        <is>
          <t>Greendale</t>
        </is>
      </c>
      <c r="B35" t="inlineStr">
        <is>
          <t>Harare</t>
        </is>
      </c>
      <c r="C35" s="19" t="n">
        <v>10</v>
      </c>
    </row>
    <row r="36">
      <c r="A36" s="17" t="inlineStr">
        <is>
          <t>Mabelreign</t>
        </is>
      </c>
      <c r="B36" s="17" t="inlineStr">
        <is>
          <t>Harare</t>
        </is>
      </c>
      <c r="C36" s="18" t="n">
        <v>10</v>
      </c>
    </row>
    <row r="37">
      <c r="A37" t="inlineStr">
        <is>
          <t>Waterfalls</t>
        </is>
      </c>
      <c r="B37" t="inlineStr">
        <is>
          <t>Harare</t>
        </is>
      </c>
      <c r="C37" s="19" t="n">
        <v>10</v>
      </c>
    </row>
    <row r="38">
      <c r="A38" s="17" t="inlineStr">
        <is>
          <t>Meyrick Park</t>
        </is>
      </c>
      <c r="B38" s="17" t="inlineStr">
        <is>
          <t>Harare</t>
        </is>
      </c>
      <c r="C38" s="18" t="n">
        <v>10</v>
      </c>
    </row>
    <row r="39">
      <c r="A39" t="inlineStr">
        <is>
          <t>Vainona</t>
        </is>
      </c>
      <c r="B39" t="inlineStr">
        <is>
          <t>Harare</t>
        </is>
      </c>
      <c r="C39" s="19" t="n">
        <v>11</v>
      </c>
    </row>
    <row r="40">
      <c r="A40" s="17" t="inlineStr">
        <is>
          <t>Sentosa</t>
        </is>
      </c>
      <c r="B40" s="17" t="inlineStr">
        <is>
          <t>Harare</t>
        </is>
      </c>
      <c r="C40" s="18" t="n">
        <v>11</v>
      </c>
    </row>
    <row r="41">
      <c r="A41" t="inlineStr">
        <is>
          <t>Ashdown Park</t>
        </is>
      </c>
      <c r="B41" t="inlineStr">
        <is>
          <t>Harare</t>
        </is>
      </c>
      <c r="C41" s="19" t="n">
        <v>11</v>
      </c>
    </row>
    <row r="42">
      <c r="A42" s="17" t="inlineStr">
        <is>
          <t>Kambuzuma</t>
        </is>
      </c>
      <c r="B42" s="17" t="inlineStr">
        <is>
          <t>Harare</t>
        </is>
      </c>
      <c r="C42" s="18" t="n">
        <v>11</v>
      </c>
    </row>
    <row r="43">
      <c r="A43" t="inlineStr">
        <is>
          <t>Borrowdale</t>
        </is>
      </c>
      <c r="B43" t="inlineStr">
        <is>
          <t>Harare</t>
        </is>
      </c>
      <c r="C43" s="19" t="n">
        <v>12</v>
      </c>
    </row>
    <row r="44">
      <c r="A44" s="17" t="inlineStr">
        <is>
          <t>Mandara</t>
        </is>
      </c>
      <c r="B44" s="17" t="inlineStr">
        <is>
          <t>Harare</t>
        </is>
      </c>
      <c r="C44" s="18" t="n">
        <v>12</v>
      </c>
    </row>
    <row r="45">
      <c r="A45" t="inlineStr">
        <is>
          <t>Bluff Hill</t>
        </is>
      </c>
      <c r="B45" t="inlineStr">
        <is>
          <t>Harare</t>
        </is>
      </c>
      <c r="C45" s="19" t="n">
        <v>12</v>
      </c>
    </row>
    <row r="46">
      <c r="A46" s="17" t="inlineStr">
        <is>
          <t>Westgate</t>
        </is>
      </c>
      <c r="B46" s="17" t="inlineStr">
        <is>
          <t>Harare</t>
        </is>
      </c>
      <c r="C46" s="18" t="n">
        <v>12</v>
      </c>
    </row>
    <row r="47">
      <c r="A47" t="inlineStr">
        <is>
          <t>Prospect</t>
        </is>
      </c>
      <c r="B47" t="inlineStr">
        <is>
          <t>Harare</t>
        </is>
      </c>
      <c r="C47" s="19" t="n">
        <v>12</v>
      </c>
    </row>
    <row r="48">
      <c r="A48" s="17" t="inlineStr">
        <is>
          <t>Glen Norah</t>
        </is>
      </c>
      <c r="B48" s="17" t="inlineStr">
        <is>
          <t>Harare</t>
        </is>
      </c>
      <c r="C48" s="18" t="n">
        <v>12</v>
      </c>
    </row>
    <row r="49">
      <c r="A49" t="inlineStr">
        <is>
          <t>Ballantyne Park</t>
        </is>
      </c>
      <c r="B49" t="inlineStr">
        <is>
          <t>Harare</t>
        </is>
      </c>
      <c r="C49" s="19" t="n">
        <v>13</v>
      </c>
    </row>
    <row r="50">
      <c r="A50" s="17" t="inlineStr">
        <is>
          <t>Hogerty Hill</t>
        </is>
      </c>
      <c r="B50" s="17" t="inlineStr">
        <is>
          <t>Harare</t>
        </is>
      </c>
      <c r="C50" s="18" t="n">
        <v>13</v>
      </c>
    </row>
    <row r="51">
      <c r="A51" t="inlineStr">
        <is>
          <t>Cotswold Hills</t>
        </is>
      </c>
      <c r="B51" t="inlineStr">
        <is>
          <t>Harare</t>
        </is>
      </c>
      <c r="C51" s="19" t="n">
        <v>13</v>
      </c>
    </row>
    <row r="52">
      <c r="A52" s="17" t="inlineStr">
        <is>
          <t>Mufakose</t>
        </is>
      </c>
      <c r="B52" s="17" t="inlineStr">
        <is>
          <t>Harare</t>
        </is>
      </c>
      <c r="C52" s="18" t="n">
        <v>13</v>
      </c>
    </row>
    <row r="53">
      <c r="A53" t="inlineStr">
        <is>
          <t>Warren Park</t>
        </is>
      </c>
      <c r="B53" t="inlineStr">
        <is>
          <t>Harare</t>
        </is>
      </c>
      <c r="C53" s="19" t="n">
        <v>13</v>
      </c>
    </row>
    <row r="54">
      <c r="A54" s="17" t="inlineStr">
        <is>
          <t>Greystone Park</t>
        </is>
      </c>
      <c r="B54" s="17" t="inlineStr">
        <is>
          <t>Harare</t>
        </is>
      </c>
      <c r="C54" s="18" t="n">
        <v>14</v>
      </c>
    </row>
    <row r="55">
      <c r="A55" t="inlineStr">
        <is>
          <t>Tynwald</t>
        </is>
      </c>
      <c r="B55" t="inlineStr">
        <is>
          <t>Harare</t>
        </is>
      </c>
      <c r="C55" s="19" t="n">
        <v>14</v>
      </c>
    </row>
    <row r="56">
      <c r="A56" s="17" t="inlineStr">
        <is>
          <t>Helensvale</t>
        </is>
      </c>
      <c r="B56" s="17" t="inlineStr">
        <is>
          <t>Harare</t>
        </is>
      </c>
      <c r="C56" s="18" t="n">
        <v>14</v>
      </c>
    </row>
    <row r="57">
      <c r="A57" t="inlineStr">
        <is>
          <t>Marlborough</t>
        </is>
      </c>
      <c r="B57" t="inlineStr">
        <is>
          <t>Harare</t>
        </is>
      </c>
      <c r="C57" s="19" t="n">
        <v>15</v>
      </c>
    </row>
    <row r="58">
      <c r="A58" s="17" t="inlineStr">
        <is>
          <t>Chisipite</t>
        </is>
      </c>
      <c r="B58" s="17" t="inlineStr">
        <is>
          <t>Harare</t>
        </is>
      </c>
      <c r="C58" s="18" t="n">
        <v>15</v>
      </c>
    </row>
    <row r="59">
      <c r="A59" t="inlineStr">
        <is>
          <t>Glen View</t>
        </is>
      </c>
      <c r="B59" t="inlineStr">
        <is>
          <t>Harare</t>
        </is>
      </c>
      <c r="C59" s="19" t="n">
        <v>15</v>
      </c>
    </row>
    <row r="60">
      <c r="A60" s="17" t="inlineStr">
        <is>
          <t>Rolf Valley</t>
        </is>
      </c>
      <c r="B60" s="17" t="inlineStr">
        <is>
          <t>Harare</t>
        </is>
      </c>
      <c r="C60" s="18" t="n">
        <v>15</v>
      </c>
    </row>
    <row r="61">
      <c r="A61" t="inlineStr">
        <is>
          <t>Dzivarasekwa</t>
        </is>
      </c>
      <c r="B61" t="inlineStr">
        <is>
          <t>Harare</t>
        </is>
      </c>
      <c r="C61" s="19" t="n">
        <v>15</v>
      </c>
    </row>
    <row r="62">
      <c r="A62" s="17" t="inlineStr">
        <is>
          <t>Sunridge</t>
        </is>
      </c>
      <c r="B62" s="17" t="inlineStr">
        <is>
          <t>Harare</t>
        </is>
      </c>
      <c r="C62" s="18" t="n">
        <v>15</v>
      </c>
    </row>
    <row r="63">
      <c r="A63" t="inlineStr">
        <is>
          <t>The Grange</t>
        </is>
      </c>
      <c r="B63" t="inlineStr">
        <is>
          <t>Harare</t>
        </is>
      </c>
      <c r="C63" s="19" t="n">
        <v>16</v>
      </c>
    </row>
    <row r="64">
      <c r="A64" s="17" t="inlineStr">
        <is>
          <t>Pomona</t>
        </is>
      </c>
      <c r="B64" s="17" t="inlineStr">
        <is>
          <t>Harare</t>
        </is>
      </c>
      <c r="C64" s="18" t="n">
        <v>16</v>
      </c>
    </row>
    <row r="65">
      <c r="A65" t="inlineStr">
        <is>
          <t>Kuwadzana</t>
        </is>
      </c>
      <c r="B65" t="inlineStr">
        <is>
          <t>Harare</t>
        </is>
      </c>
      <c r="C65" s="19" t="n">
        <v>16</v>
      </c>
    </row>
    <row r="66">
      <c r="A66" s="17" t="inlineStr">
        <is>
          <t>Bloomingdale</t>
        </is>
      </c>
      <c r="B66" s="17" t="inlineStr">
        <is>
          <t>Harare</t>
        </is>
      </c>
      <c r="C66" s="18" t="n">
        <v>16</v>
      </c>
    </row>
    <row r="67">
      <c r="A67" t="inlineStr">
        <is>
          <t>Glen Lorne</t>
        </is>
      </c>
      <c r="B67" t="inlineStr">
        <is>
          <t>Harare</t>
        </is>
      </c>
      <c r="C67" s="19" t="n">
        <v>18</v>
      </c>
    </row>
    <row r="68">
      <c r="A68" s="17" t="inlineStr">
        <is>
          <t>Budiriro</t>
        </is>
      </c>
      <c r="B68" s="17" t="inlineStr">
        <is>
          <t>Harare</t>
        </is>
      </c>
      <c r="C68" s="18" t="n">
        <v>18</v>
      </c>
    </row>
    <row r="69">
      <c r="A69" t="inlineStr">
        <is>
          <t>Epworth</t>
        </is>
      </c>
      <c r="B69" t="inlineStr">
        <is>
          <t>Harare</t>
        </is>
      </c>
      <c r="C69" s="19" t="n">
        <v>18</v>
      </c>
    </row>
    <row r="70">
      <c r="A70" s="17" t="inlineStr">
        <is>
          <t>Borrowdale Brooke</t>
        </is>
      </c>
      <c r="B70" s="17" t="inlineStr">
        <is>
          <t>Harare</t>
        </is>
      </c>
      <c r="C70" s="18" t="n">
        <v>18</v>
      </c>
    </row>
    <row r="71">
      <c r="A71" t="inlineStr">
        <is>
          <t>Mabvuku</t>
        </is>
      </c>
      <c r="B71" t="inlineStr">
        <is>
          <t>Harare</t>
        </is>
      </c>
      <c r="C71" s="19" t="n">
        <v>18</v>
      </c>
    </row>
    <row r="72">
      <c r="A72" s="17" t="inlineStr">
        <is>
          <t>Tafara</t>
        </is>
      </c>
      <c r="B72" s="17" t="inlineStr">
        <is>
          <t>Harare</t>
        </is>
      </c>
      <c r="C72" s="18" t="n">
        <v>19</v>
      </c>
    </row>
    <row r="73">
      <c r="A73" t="inlineStr">
        <is>
          <t>Hatcliffe</t>
        </is>
      </c>
      <c r="B73" t="inlineStr">
        <is>
          <t>Harare</t>
        </is>
      </c>
      <c r="C73" s="19" t="n">
        <v>20</v>
      </c>
    </row>
    <row r="74">
      <c r="A74" s="17" t="inlineStr">
        <is>
          <t>Mount Hampden</t>
        </is>
      </c>
      <c r="B74" s="17" t="inlineStr">
        <is>
          <t>Harare</t>
        </is>
      </c>
      <c r="C74" s="18" t="n">
        <v>20</v>
      </c>
    </row>
    <row r="75">
      <c r="A75" t="inlineStr">
        <is>
          <t>Ruwa</t>
        </is>
      </c>
      <c r="B75" t="inlineStr">
        <is>
          <t>Harare</t>
        </is>
      </c>
      <c r="C75" s="19" t="n">
        <v>25</v>
      </c>
    </row>
    <row r="76">
      <c r="A76" s="17" t="inlineStr">
        <is>
          <t>Chitungwiza</t>
        </is>
      </c>
      <c r="B76" s="17" t="inlineStr">
        <is>
          <t>Harare</t>
        </is>
      </c>
      <c r="C76" s="18" t="n">
        <v>25</v>
      </c>
    </row>
    <row r="77">
      <c r="A77" t="inlineStr">
        <is>
          <t>Arcturus</t>
        </is>
      </c>
      <c r="B77" t="inlineStr">
        <is>
          <t>Harare</t>
        </is>
      </c>
      <c r="C77" s="19" t="n">
        <v>30</v>
      </c>
    </row>
    <row r="78">
      <c r="A78" s="17" t="inlineStr">
        <is>
          <t>Seke</t>
        </is>
      </c>
      <c r="B78" s="17" t="inlineStr">
        <is>
          <t>Harare</t>
        </is>
      </c>
      <c r="C78" s="18" t="n">
        <v>30</v>
      </c>
    </row>
    <row r="79">
      <c r="A79" t="inlineStr">
        <is>
          <t>Domboshava</t>
        </is>
      </c>
      <c r="B79" t="inlineStr">
        <is>
          <t>Harare</t>
        </is>
      </c>
      <c r="C79" s="19" t="n">
        <v>35</v>
      </c>
    </row>
    <row r="80">
      <c r="A80" s="17" t="inlineStr">
        <is>
          <t>Norton</t>
        </is>
      </c>
      <c r="B80" s="17" t="inlineStr">
        <is>
          <t>Harare</t>
        </is>
      </c>
      <c r="C80" s="18" t="n">
        <v>40</v>
      </c>
    </row>
    <row r="81">
      <c r="A81" t="inlineStr">
        <is>
          <t>Goromonzi</t>
        </is>
      </c>
      <c r="B81" t="inlineStr">
        <is>
          <t>Harare</t>
        </is>
      </c>
      <c r="C81" s="19" t="n">
        <v>42</v>
      </c>
    </row>
    <row r="82">
      <c r="A82" s="17" t="inlineStr">
        <is>
          <t>Beatrice</t>
        </is>
      </c>
      <c r="B82" s="17" t="inlineStr">
        <is>
          <t>Harare</t>
        </is>
      </c>
      <c r="C82" s="18" t="n">
        <v>55</v>
      </c>
    </row>
    <row r="83">
      <c r="A83" t="inlineStr">
        <is>
          <t>Rusape</t>
        </is>
      </c>
      <c r="B83" t="inlineStr">
        <is>
          <t>Manicaland</t>
        </is>
      </c>
      <c r="C83" s="19" t="n">
        <v>170</v>
      </c>
    </row>
    <row r="84">
      <c r="A84" s="17" t="inlineStr">
        <is>
          <t>Odzi</t>
        </is>
      </c>
      <c r="B84" s="17" t="inlineStr">
        <is>
          <t>Manicaland</t>
        </is>
      </c>
      <c r="C84" s="18" t="n">
        <v>235</v>
      </c>
    </row>
    <row r="85">
      <c r="A85" t="inlineStr">
        <is>
          <t>Buhera</t>
        </is>
      </c>
      <c r="B85" t="inlineStr">
        <is>
          <t>Manicaland</t>
        </is>
      </c>
      <c r="C85" s="19" t="n">
        <v>250</v>
      </c>
    </row>
    <row r="86">
      <c r="A86" s="17" t="inlineStr">
        <is>
          <t>Mutare</t>
        </is>
      </c>
      <c r="B86" s="17" t="inlineStr">
        <is>
          <t>Manicaland</t>
        </is>
      </c>
      <c r="C86" s="18" t="n">
        <v>263</v>
      </c>
    </row>
    <row r="87">
      <c r="A87" t="inlineStr">
        <is>
          <t>Nyanga</t>
        </is>
      </c>
      <c r="B87" t="inlineStr">
        <is>
          <t>Manicaland</t>
        </is>
      </c>
      <c r="C87" s="19" t="n">
        <v>268</v>
      </c>
    </row>
    <row r="88">
      <c r="A88" s="17" t="inlineStr">
        <is>
          <t>Penhalonga</t>
        </is>
      </c>
      <c r="B88" s="17" t="inlineStr">
        <is>
          <t>Manicaland</t>
        </is>
      </c>
      <c r="C88" s="18" t="n">
        <v>275</v>
      </c>
    </row>
    <row r="89">
      <c r="A89" t="inlineStr">
        <is>
          <t>Hauna</t>
        </is>
      </c>
      <c r="B89" t="inlineStr">
        <is>
          <t>Manicaland</t>
        </is>
      </c>
      <c r="C89" s="19" t="n">
        <v>300</v>
      </c>
    </row>
    <row r="90">
      <c r="A90" s="17" t="inlineStr">
        <is>
          <t>Birchenough Bridge</t>
        </is>
      </c>
      <c r="B90" s="17" t="inlineStr">
        <is>
          <t>Manicaland</t>
        </is>
      </c>
      <c r="C90" s="18" t="n">
        <v>320</v>
      </c>
    </row>
    <row r="91">
      <c r="A91" t="inlineStr">
        <is>
          <t>Chimanimani</t>
        </is>
      </c>
      <c r="B91" t="inlineStr">
        <is>
          <t>Manicaland</t>
        </is>
      </c>
      <c r="C91" s="19" t="n">
        <v>325</v>
      </c>
    </row>
    <row r="92">
      <c r="A92" s="17" t="inlineStr">
        <is>
          <t>Chipinge</t>
        </is>
      </c>
      <c r="B92" s="17" t="inlineStr">
        <is>
          <t>Manicaland</t>
        </is>
      </c>
      <c r="C92" s="18" t="n">
        <v>395</v>
      </c>
    </row>
    <row r="93">
      <c r="A93" t="inlineStr">
        <is>
          <t>Chisumbanje</t>
        </is>
      </c>
      <c r="B93" t="inlineStr">
        <is>
          <t>Manicaland</t>
        </is>
      </c>
      <c r="C93" s="19" t="n">
        <v>430</v>
      </c>
    </row>
    <row r="94">
      <c r="A94" s="17" t="inlineStr">
        <is>
          <t>Mazowe</t>
        </is>
      </c>
      <c r="B94" s="17" t="inlineStr">
        <is>
          <t>Mashonaland Central</t>
        </is>
      </c>
      <c r="C94" s="18" t="n">
        <v>40</v>
      </c>
    </row>
    <row r="95">
      <c r="A95" t="inlineStr">
        <is>
          <t>Concession</t>
        </is>
      </c>
      <c r="B95" t="inlineStr">
        <is>
          <t>Mashonaland Central</t>
        </is>
      </c>
      <c r="C95" s="19" t="n">
        <v>55</v>
      </c>
    </row>
    <row r="96">
      <c r="A96" s="17" t="inlineStr">
        <is>
          <t>Glendale</t>
        </is>
      </c>
      <c r="B96" s="17" t="inlineStr">
        <is>
          <t>Mashonaland Central</t>
        </is>
      </c>
      <c r="C96" s="18" t="n">
        <v>65</v>
      </c>
    </row>
    <row r="97">
      <c r="A97" t="inlineStr">
        <is>
          <t>Bindura</t>
        </is>
      </c>
      <c r="B97" t="inlineStr">
        <is>
          <t>Mashonaland Central</t>
        </is>
      </c>
      <c r="C97" s="19" t="n">
        <v>88</v>
      </c>
    </row>
    <row r="98">
      <c r="A98" s="17" t="inlineStr">
        <is>
          <t>Shamva</t>
        </is>
      </c>
      <c r="B98" s="17" t="inlineStr">
        <is>
          <t>Mashonaland Central</t>
        </is>
      </c>
      <c r="C98" s="18" t="n">
        <v>95</v>
      </c>
    </row>
    <row r="99">
      <c r="A99" t="inlineStr">
        <is>
          <t>Mvurwi</t>
        </is>
      </c>
      <c r="B99" t="inlineStr">
        <is>
          <t>Mashonaland Central</t>
        </is>
      </c>
      <c r="C99" s="19" t="n">
        <v>120</v>
      </c>
    </row>
    <row r="100">
      <c r="A100" s="17" t="inlineStr">
        <is>
          <t>Guruve</t>
        </is>
      </c>
      <c r="B100" s="17" t="inlineStr">
        <is>
          <t>Mashonaland Central</t>
        </is>
      </c>
      <c r="C100" s="18" t="n">
        <v>150</v>
      </c>
    </row>
    <row r="101">
      <c r="A101" t="inlineStr">
        <is>
          <t>Mt Darwin</t>
        </is>
      </c>
      <c r="B101" t="inlineStr">
        <is>
          <t>Mashonaland Central</t>
        </is>
      </c>
      <c r="C101" s="19" t="n">
        <v>160</v>
      </c>
    </row>
    <row r="102">
      <c r="A102" s="17" t="inlineStr">
        <is>
          <t>Centenary</t>
        </is>
      </c>
      <c r="B102" s="17" t="inlineStr">
        <is>
          <t>Mashonaland Central</t>
        </is>
      </c>
      <c r="C102" s="18" t="n">
        <v>170</v>
      </c>
    </row>
    <row r="103">
      <c r="A103" t="inlineStr">
        <is>
          <t>Rushinga</t>
        </is>
      </c>
      <c r="B103" t="inlineStr">
        <is>
          <t>Mashonaland Central</t>
        </is>
      </c>
      <c r="C103" s="19" t="n">
        <v>230</v>
      </c>
    </row>
    <row r="104">
      <c r="A104" s="17" t="inlineStr">
        <is>
          <t>Mukumbura</t>
        </is>
      </c>
      <c r="B104" s="17" t="inlineStr">
        <is>
          <t>Mashonaland Central</t>
        </is>
      </c>
      <c r="C104" s="18" t="n">
        <v>250</v>
      </c>
    </row>
    <row r="105">
      <c r="A105" t="inlineStr">
        <is>
          <t>Juru</t>
        </is>
      </c>
      <c r="B105" t="inlineStr">
        <is>
          <t>Mashonaland East</t>
        </is>
      </c>
      <c r="C105" s="19" t="n">
        <v>50</v>
      </c>
    </row>
    <row r="106">
      <c r="A106" s="17" t="inlineStr">
        <is>
          <t>Marondera</t>
        </is>
      </c>
      <c r="B106" s="17" t="inlineStr">
        <is>
          <t>Mashonaland East</t>
        </is>
      </c>
      <c r="C106" s="18" t="n">
        <v>72</v>
      </c>
    </row>
    <row r="107">
      <c r="A107" t="inlineStr">
        <is>
          <t>Murewa</t>
        </is>
      </c>
      <c r="B107" t="inlineStr">
        <is>
          <t>Mashonaland East</t>
        </is>
      </c>
      <c r="C107" s="19" t="n">
        <v>85</v>
      </c>
    </row>
    <row r="108">
      <c r="A108" s="17" t="inlineStr">
        <is>
          <t>Macheke</t>
        </is>
      </c>
      <c r="B108" s="17" t="inlineStr">
        <is>
          <t>Mashonaland East</t>
        </is>
      </c>
      <c r="C108" s="18" t="n">
        <v>105</v>
      </c>
    </row>
    <row r="109">
      <c r="A109" t="inlineStr">
        <is>
          <t>Wedza</t>
        </is>
      </c>
      <c r="B109" t="inlineStr">
        <is>
          <t>Mashonaland East</t>
        </is>
      </c>
      <c r="C109" s="19" t="n">
        <v>125</v>
      </c>
    </row>
    <row r="110">
      <c r="A110" s="17" t="inlineStr">
        <is>
          <t>Mutoko</t>
        </is>
      </c>
      <c r="B110" s="17" t="inlineStr">
        <is>
          <t>Mashonaland East</t>
        </is>
      </c>
      <c r="C110" s="18" t="n">
        <v>143</v>
      </c>
    </row>
    <row r="111">
      <c r="A111" t="inlineStr">
        <is>
          <t>Headlands</t>
        </is>
      </c>
      <c r="B111" t="inlineStr">
        <is>
          <t>Mashonaland East</t>
        </is>
      </c>
      <c r="C111" s="19" t="n">
        <v>145</v>
      </c>
    </row>
    <row r="112">
      <c r="A112" s="17" t="inlineStr">
        <is>
          <t>Mutawatawa</t>
        </is>
      </c>
      <c r="B112" s="17" t="inlineStr">
        <is>
          <t>Mashonaland East</t>
        </is>
      </c>
      <c r="C112" s="18" t="n">
        <v>165</v>
      </c>
    </row>
    <row r="113">
      <c r="A113" t="inlineStr">
        <is>
          <t>Nyazura</t>
        </is>
      </c>
      <c r="B113" t="inlineStr">
        <is>
          <t>Mashonaland East</t>
        </is>
      </c>
      <c r="C113" s="19" t="n">
        <v>165</v>
      </c>
    </row>
    <row r="114">
      <c r="A114" s="17" t="inlineStr">
        <is>
          <t>Banket</t>
        </is>
      </c>
      <c r="B114" s="17" t="inlineStr">
        <is>
          <t>Mashonaland West</t>
        </is>
      </c>
      <c r="C114" s="18" t="n">
        <v>90</v>
      </c>
    </row>
    <row r="115">
      <c r="A115" t="inlineStr">
        <is>
          <t>Murombedzi</t>
        </is>
      </c>
      <c r="B115" t="inlineStr">
        <is>
          <t>Mashonaland West</t>
        </is>
      </c>
      <c r="C115" s="19" t="n">
        <v>95</v>
      </c>
    </row>
    <row r="116">
      <c r="A116" s="17" t="inlineStr">
        <is>
          <t>Chegutu</t>
        </is>
      </c>
      <c r="B116" s="17" t="inlineStr">
        <is>
          <t>Mashonaland West</t>
        </is>
      </c>
      <c r="C116" s="18" t="n">
        <v>100</v>
      </c>
    </row>
    <row r="117">
      <c r="A117" t="inlineStr">
        <is>
          <t>Mutorashanga</t>
        </is>
      </c>
      <c r="B117" t="inlineStr">
        <is>
          <t>Mashonaland West</t>
        </is>
      </c>
      <c r="C117" s="19" t="n">
        <v>110</v>
      </c>
    </row>
    <row r="118">
      <c r="A118" s="17" t="inlineStr">
        <is>
          <t>Chinhoyi</t>
        </is>
      </c>
      <c r="B118" s="17" t="inlineStr">
        <is>
          <t>Mashonaland West</t>
        </is>
      </c>
      <c r="C118" s="18" t="n">
        <v>115</v>
      </c>
    </row>
    <row r="119">
      <c r="A119" t="inlineStr">
        <is>
          <t>Kadoma</t>
        </is>
      </c>
      <c r="B119" t="inlineStr">
        <is>
          <t>Mashonaland West</t>
        </is>
      </c>
      <c r="C119" s="19" t="n">
        <v>140</v>
      </c>
    </row>
    <row r="120">
      <c r="A120" s="17" t="inlineStr">
        <is>
          <t>Mhangura</t>
        </is>
      </c>
      <c r="B120" s="17" t="inlineStr">
        <is>
          <t>Mashonaland West</t>
        </is>
      </c>
      <c r="C120" s="18" t="n">
        <v>160</v>
      </c>
    </row>
    <row r="121">
      <c r="A121" t="inlineStr">
        <is>
          <t>Chakari</t>
        </is>
      </c>
      <c r="B121" t="inlineStr">
        <is>
          <t>Mashonaland West</t>
        </is>
      </c>
      <c r="C121" s="19" t="n">
        <v>165</v>
      </c>
    </row>
    <row r="122">
      <c r="A122" s="17" t="inlineStr">
        <is>
          <t>Karoi</t>
        </is>
      </c>
      <c r="B122" s="17" t="inlineStr">
        <is>
          <t>Mashonaland West</t>
        </is>
      </c>
      <c r="C122" s="18" t="n">
        <v>200</v>
      </c>
    </row>
    <row r="123">
      <c r="A123" t="inlineStr">
        <is>
          <t>Magunje</t>
        </is>
      </c>
      <c r="B123" t="inlineStr">
        <is>
          <t>Mashonaland West</t>
        </is>
      </c>
      <c r="C123" s="19" t="n">
        <v>215</v>
      </c>
    </row>
    <row r="124">
      <c r="A124" s="17" t="inlineStr">
        <is>
          <t>Sanyati</t>
        </is>
      </c>
      <c r="B124" s="17" t="inlineStr">
        <is>
          <t>Mashonaland West</t>
        </is>
      </c>
      <c r="C124" s="18" t="n">
        <v>240</v>
      </c>
    </row>
    <row r="125">
      <c r="A125" t="inlineStr">
        <is>
          <t>Kariba</t>
        </is>
      </c>
      <c r="B125" t="inlineStr">
        <is>
          <t>Mashonaland West</t>
        </is>
      </c>
      <c r="C125" s="19" t="n">
        <v>365</v>
      </c>
    </row>
    <row r="126">
      <c r="A126" s="17" t="inlineStr">
        <is>
          <t>Gutu</t>
        </is>
      </c>
      <c r="B126" s="17" t="inlineStr">
        <is>
          <t>Masvingo</t>
        </is>
      </c>
      <c r="C126" s="18" t="n">
        <v>235</v>
      </c>
    </row>
    <row r="127">
      <c r="A127" t="inlineStr">
        <is>
          <t>Masvingo</t>
        </is>
      </c>
      <c r="B127" t="inlineStr">
        <is>
          <t>Masvingo</t>
        </is>
      </c>
      <c r="C127" s="19" t="n">
        <v>292</v>
      </c>
    </row>
    <row r="128">
      <c r="A128" s="17" t="inlineStr">
        <is>
          <t>Nyika</t>
        </is>
      </c>
      <c r="B128" s="17" t="inlineStr">
        <is>
          <t>Masvingo</t>
        </is>
      </c>
      <c r="C128" s="18" t="n">
        <v>300</v>
      </c>
    </row>
    <row r="129">
      <c r="A129" t="inlineStr">
        <is>
          <t>Bikita</t>
        </is>
      </c>
      <c r="B129" t="inlineStr">
        <is>
          <t>Masvingo</t>
        </is>
      </c>
      <c r="C129" s="19" t="n">
        <v>320</v>
      </c>
    </row>
    <row r="130">
      <c r="A130" s="17" t="inlineStr">
        <is>
          <t>Zaka</t>
        </is>
      </c>
      <c r="B130" s="17" t="inlineStr">
        <is>
          <t>Masvingo</t>
        </is>
      </c>
      <c r="C130" s="18" t="n">
        <v>330</v>
      </c>
    </row>
    <row r="131">
      <c r="A131" t="inlineStr">
        <is>
          <t>Mashava</t>
        </is>
      </c>
      <c r="B131" t="inlineStr">
        <is>
          <t>Masvingo</t>
        </is>
      </c>
      <c r="C131" s="19" t="n">
        <v>330</v>
      </c>
    </row>
    <row r="132">
      <c r="A132" s="17" t="inlineStr">
        <is>
          <t>Ngundu</t>
        </is>
      </c>
      <c r="B132" s="17" t="inlineStr">
        <is>
          <t>Masvingo</t>
        </is>
      </c>
      <c r="C132" s="18" t="n">
        <v>360</v>
      </c>
    </row>
    <row r="133">
      <c r="A133" t="inlineStr">
        <is>
          <t>Chiredzi</t>
        </is>
      </c>
      <c r="B133" t="inlineStr">
        <is>
          <t>Masvingo</t>
        </is>
      </c>
      <c r="C133" s="19" t="n">
        <v>395</v>
      </c>
    </row>
    <row r="134">
      <c r="A134" s="17" t="inlineStr">
        <is>
          <t>Mwenezi</t>
        </is>
      </c>
      <c r="B134" s="17" t="inlineStr">
        <is>
          <t>Masvingo</t>
        </is>
      </c>
      <c r="C134" s="18" t="n">
        <v>400</v>
      </c>
    </row>
    <row r="135">
      <c r="A135" t="inlineStr">
        <is>
          <t>Triangle</t>
        </is>
      </c>
      <c r="B135" t="inlineStr">
        <is>
          <t>Masvingo</t>
        </is>
      </c>
      <c r="C135" s="19" t="n">
        <v>410</v>
      </c>
    </row>
    <row r="136">
      <c r="A136" s="17" t="inlineStr">
        <is>
          <t>Nkayi</t>
        </is>
      </c>
      <c r="B136" s="17" t="inlineStr">
        <is>
          <t>Matabeleland North</t>
        </is>
      </c>
      <c r="C136" s="18" t="n">
        <v>410</v>
      </c>
    </row>
    <row r="137">
      <c r="A137" t="inlineStr">
        <is>
          <t>Bulawayo</t>
        </is>
      </c>
      <c r="B137" t="inlineStr">
        <is>
          <t>Matabeleland North</t>
        </is>
      </c>
      <c r="C137" s="19" t="n">
        <v>440</v>
      </c>
    </row>
    <row r="138">
      <c r="A138" s="17" t="inlineStr">
        <is>
          <t>Tsholotsho</t>
        </is>
      </c>
      <c r="B138" s="17" t="inlineStr">
        <is>
          <t>Matabeleland North</t>
        </is>
      </c>
      <c r="C138" s="18" t="n">
        <v>520</v>
      </c>
    </row>
    <row r="139">
      <c r="A139" t="inlineStr">
        <is>
          <t>Lupane</t>
        </is>
      </c>
      <c r="B139" t="inlineStr">
        <is>
          <t>Matabeleland North</t>
        </is>
      </c>
      <c r="C139" s="19" t="n">
        <v>530</v>
      </c>
    </row>
    <row r="140">
      <c r="A140" s="17" t="inlineStr">
        <is>
          <t>Kamativi</t>
        </is>
      </c>
      <c r="B140" s="17" t="inlineStr">
        <is>
          <t>Matabeleland North</t>
        </is>
      </c>
      <c r="C140" s="18" t="n">
        <v>600</v>
      </c>
    </row>
    <row r="141">
      <c r="A141" t="inlineStr">
        <is>
          <t>Binga</t>
        </is>
      </c>
      <c r="B141" t="inlineStr">
        <is>
          <t>Matabeleland North</t>
        </is>
      </c>
      <c r="C141" s="19" t="n">
        <v>640</v>
      </c>
    </row>
    <row r="142">
      <c r="A142" s="17" t="inlineStr">
        <is>
          <t>Dete</t>
        </is>
      </c>
      <c r="B142" s="17" t="inlineStr">
        <is>
          <t>Matabeleland North</t>
        </is>
      </c>
      <c r="C142" s="18" t="n">
        <v>660</v>
      </c>
    </row>
    <row r="143">
      <c r="A143" t="inlineStr">
        <is>
          <t>Hwange</t>
        </is>
      </c>
      <c r="B143" t="inlineStr">
        <is>
          <t>Matabeleland North</t>
        </is>
      </c>
      <c r="C143" s="19" t="n">
        <v>700</v>
      </c>
    </row>
    <row r="144">
      <c r="A144" s="17" t="inlineStr">
        <is>
          <t>Victoria Falls</t>
        </is>
      </c>
      <c r="B144" s="17" t="inlineStr">
        <is>
          <t>Matabeleland North</t>
        </is>
      </c>
      <c r="C144" s="18" t="n">
        <v>878</v>
      </c>
    </row>
    <row r="145">
      <c r="A145" t="inlineStr">
        <is>
          <t>Filabusi</t>
        </is>
      </c>
      <c r="B145" t="inlineStr">
        <is>
          <t>Matabeleland South</t>
        </is>
      </c>
      <c r="C145" s="19" t="n">
        <v>470</v>
      </c>
    </row>
    <row r="146">
      <c r="A146" s="17" t="inlineStr">
        <is>
          <t>Esigodini</t>
        </is>
      </c>
      <c r="B146" s="17" t="inlineStr">
        <is>
          <t>Matabeleland South</t>
        </is>
      </c>
      <c r="C146" s="18" t="n">
        <v>480</v>
      </c>
    </row>
    <row r="147">
      <c r="A147" t="inlineStr">
        <is>
          <t>Plumtree</t>
        </is>
      </c>
      <c r="B147" t="inlineStr">
        <is>
          <t>Matabeleland South</t>
        </is>
      </c>
      <c r="C147" s="19" t="n">
        <v>500</v>
      </c>
    </row>
    <row r="148">
      <c r="A148" s="17" t="inlineStr">
        <is>
          <t>Gwanda</t>
        </is>
      </c>
      <c r="B148" s="17" t="inlineStr">
        <is>
          <t>Matabeleland South</t>
        </is>
      </c>
      <c r="C148" s="18" t="n">
        <v>510</v>
      </c>
    </row>
    <row r="149">
      <c r="A149" t="inlineStr">
        <is>
          <t>Maphisa</t>
        </is>
      </c>
      <c r="B149" t="inlineStr">
        <is>
          <t>Matabeleland South</t>
        </is>
      </c>
      <c r="C149" s="19" t="n">
        <v>520</v>
      </c>
    </row>
    <row r="150">
      <c r="A150" s="17" t="inlineStr">
        <is>
          <t>Kezi</t>
        </is>
      </c>
      <c r="B150" s="17" t="inlineStr">
        <is>
          <t>Matabeleland South</t>
        </is>
      </c>
      <c r="C150" s="18" t="n">
        <v>530</v>
      </c>
    </row>
    <row r="151">
      <c r="A151" t="inlineStr">
        <is>
          <t>West Nicholson</t>
        </is>
      </c>
      <c r="B151" t="inlineStr">
        <is>
          <t>Matabeleland South</t>
        </is>
      </c>
      <c r="C151" s="19" t="n">
        <v>545</v>
      </c>
    </row>
    <row r="152">
      <c r="A152" s="17" t="inlineStr">
        <is>
          <t>Mphoengs</t>
        </is>
      </c>
      <c r="B152" s="17" t="inlineStr">
        <is>
          <t>Matabeleland South</t>
        </is>
      </c>
      <c r="C152" s="18" t="n">
        <v>560</v>
      </c>
    </row>
    <row r="153">
      <c r="A153" t="inlineStr">
        <is>
          <t>Beitbridge</t>
        </is>
      </c>
      <c r="B153" t="inlineStr">
        <is>
          <t>Matabeleland South</t>
        </is>
      </c>
      <c r="C153" s="19" t="n">
        <v>580</v>
      </c>
    </row>
    <row r="154">
      <c r="A154" s="17" t="inlineStr">
        <is>
          <t>Kwekwe</t>
        </is>
      </c>
      <c r="B154" s="17" t="inlineStr">
        <is>
          <t>Midlands</t>
        </is>
      </c>
      <c r="C154" s="18" t="n">
        <v>215</v>
      </c>
    </row>
    <row r="155">
      <c r="A155" t="inlineStr">
        <is>
          <t>Mvuma</t>
        </is>
      </c>
      <c r="B155" t="inlineStr">
        <is>
          <t>Midlands</t>
        </is>
      </c>
      <c r="C155" s="19" t="n">
        <v>215</v>
      </c>
    </row>
    <row r="156">
      <c r="A156" s="17" t="inlineStr">
        <is>
          <t>Redcliff</t>
        </is>
      </c>
      <c r="B156" s="17" t="inlineStr">
        <is>
          <t>Midlands</t>
        </is>
      </c>
      <c r="C156" s="18" t="n">
        <v>225</v>
      </c>
    </row>
    <row r="157">
      <c r="A157" t="inlineStr">
        <is>
          <t>Lalapanzi</t>
        </is>
      </c>
      <c r="B157" t="inlineStr">
        <is>
          <t>Midlands</t>
        </is>
      </c>
      <c r="C157" s="19" t="n">
        <v>245</v>
      </c>
    </row>
    <row r="158">
      <c r="A158" s="17" t="inlineStr">
        <is>
          <t>Gweru</t>
        </is>
      </c>
      <c r="B158" s="17" t="inlineStr">
        <is>
          <t>Midlands</t>
        </is>
      </c>
      <c r="C158" s="18" t="n">
        <v>275</v>
      </c>
    </row>
    <row r="159">
      <c r="A159" t="inlineStr">
        <is>
          <t>Gokwe</t>
        </is>
      </c>
      <c r="B159" t="inlineStr">
        <is>
          <t>Midlands</t>
        </is>
      </c>
      <c r="C159" s="19" t="n">
        <v>295</v>
      </c>
    </row>
    <row r="160">
      <c r="A160" s="17" t="inlineStr">
        <is>
          <t>Gokwe South</t>
        </is>
      </c>
      <c r="B160" s="17" t="inlineStr">
        <is>
          <t>Midlands</t>
        </is>
      </c>
      <c r="C160" s="18" t="n">
        <v>300</v>
      </c>
    </row>
    <row r="161">
      <c r="A161" t="inlineStr">
        <is>
          <t>Shurugwi</t>
        </is>
      </c>
      <c r="B161" t="inlineStr">
        <is>
          <t>Midlands</t>
        </is>
      </c>
      <c r="C161" s="19" t="n">
        <v>310</v>
      </c>
    </row>
    <row r="162">
      <c r="A162" s="17" t="inlineStr">
        <is>
          <t>Zvishavane</t>
        </is>
      </c>
      <c r="B162" s="17" t="inlineStr">
        <is>
          <t>Midlands</t>
        </is>
      </c>
      <c r="C162" s="18" t="n">
        <v>350</v>
      </c>
    </row>
    <row r="163">
      <c r="A163" t="inlineStr">
        <is>
          <t>Mberengwa</t>
        </is>
      </c>
      <c r="B163" t="inlineStr">
        <is>
          <t>Midlands</t>
        </is>
      </c>
      <c r="C163" s="19" t="n">
        <v>360</v>
      </c>
    </row>
  </sheetData>
  <autoFilter ref="A1:C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40" customWidth="1" min="4" max="4"/>
  </cols>
  <sheetData>
    <row r="2">
      <c r="B2" s="1" t="inlineStr">
        <is>
          <t>Custom Location Distance</t>
        </is>
      </c>
    </row>
    <row r="3">
      <c r="B3" s="2" t="inlineStr">
        <is>
          <t>For a site that is not in the Area Distances list. Get the GPS coordinates from Google Maps (right-click → the lat, lng numbers).</t>
        </is>
      </c>
    </row>
    <row r="5">
      <c r="B5" s="4" t="inlineStr">
        <is>
          <t>Taqon HQ latitude</t>
        </is>
      </c>
      <c r="C5" s="20" t="n">
        <v>-17.7817166</v>
      </c>
    </row>
    <row r="6">
      <c r="B6" s="4" t="inlineStr">
        <is>
          <t>Taqon HQ longitude</t>
        </is>
      </c>
      <c r="C6" s="20" t="n">
        <v>31.019658</v>
      </c>
    </row>
    <row r="8">
      <c r="B8" s="7" t="inlineStr">
        <is>
          <t>Site latitude</t>
        </is>
      </c>
      <c r="C8" s="21" t="n">
        <v>-17.83</v>
      </c>
    </row>
    <row r="9">
      <c r="B9" s="7" t="inlineStr">
        <is>
          <t>Site longitude</t>
        </is>
      </c>
      <c r="C9" s="21" t="n">
        <v>31.05</v>
      </c>
    </row>
    <row r="11">
      <c r="B11" s="7" t="inlineStr">
        <is>
          <t>Straight-line distance (km)</t>
        </is>
      </c>
      <c r="C11" s="22">
        <f>6371*2*ASIN(SQRT(SIN(RADIANS(C8-C5)/2)^2+COS(RADIANS(C5))*COS(RADIANS(C8))*SIN(RADIANS(C9-C6)/2)^2))</f>
        <v/>
      </c>
    </row>
    <row r="12">
      <c r="B12" s="7" t="inlineStr">
        <is>
          <t>Suggested road distance (km) ≈ ×1.3</t>
        </is>
      </c>
      <c r="C12" s="23">
        <f>C11*1.3</f>
        <v/>
      </c>
    </row>
    <row r="14">
      <c r="B14" s="24" t="inlineStr">
        <is>
          <t>Haversine gives the straight-line (as-the-crow-flies) distance. Real roads are longer, so multiply by ~1.3 for a fair transport figure, or just use the nearest town in the Area Distances tab.</t>
        </is>
      </c>
    </row>
    <row r="15"/>
    <row r="16"/>
  </sheetData>
  <mergeCells count="1">
    <mergeCell ref="B14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>
      <c r="B2" s="1" t="inlineStr">
        <is>
          <t>TAQON ELECTRICO — Pricing Formula</t>
        </is>
      </c>
    </row>
    <row r="4">
      <c r="B4" s="4" t="inlineStr">
        <is>
          <t>The full price is built up in four steps from the equipment cost:</t>
        </is>
      </c>
    </row>
    <row r="6">
      <c r="B6" s="7" t="inlineStr">
        <is>
          <t>1.  Materials      = sum of all component prices (the equipment cost)</t>
        </is>
      </c>
    </row>
    <row r="7">
      <c r="B7" s="7" t="inlineStr">
        <is>
          <t>2.  Sundries       = Materials × 0.5%   (consumables)</t>
        </is>
      </c>
    </row>
    <row r="8">
      <c r="B8" s="7" t="inlineStr">
        <is>
          <t>3.  Labour         = (Materials + Sundries) × 8%</t>
        </is>
      </c>
    </row>
    <row r="9">
      <c r="B9" s="7" t="inlineStr">
        <is>
          <t>4.  Transport      = Distance (km from HQ) × USD 0.65</t>
        </is>
      </c>
    </row>
    <row r="11">
      <c r="B11" s="3" t="inlineStr">
        <is>
          <t xml:space="preserve">     TOTAL         = Materials + Sundries + Labour + Transport</t>
        </is>
      </c>
    </row>
    <row r="13">
      <c r="B13" s="3" t="inlineStr">
        <is>
          <t>Distance:</t>
        </is>
      </c>
    </row>
    <row r="14">
      <c r="B14" s="4" t="inlineStr">
        <is>
          <t xml:space="preserve">  • Known towns/suburbs: use the value in the "Area Distances" tab</t>
        </is>
      </c>
    </row>
    <row r="15">
      <c r="B15" s="4" t="inlineStr">
        <is>
          <t xml:space="preserve">    (real road distances from Taqon HQ in Strathaven, Harare).</t>
        </is>
      </c>
    </row>
    <row r="16">
      <c r="B16" s="4" t="inlineStr">
        <is>
          <t xml:space="preserve">  • Anywhere else: use the "Custom Distance" tab — enter the site GPS</t>
        </is>
      </c>
    </row>
    <row r="17">
      <c r="B17" s="4" t="inlineStr">
        <is>
          <t xml:space="preserve">    coordinates and it computes the distance (haversine × ~1.3 for road).</t>
        </is>
      </c>
    </row>
    <row r="19">
      <c r="B19" s="3" t="inlineStr">
        <is>
          <t>Worked example (Marondera, 72 km, USD 2,371.20 equipment):</t>
        </is>
      </c>
    </row>
    <row r="20">
      <c r="B20" s="4" t="inlineStr">
        <is>
          <t xml:space="preserve">  Sundries  = 2,371.20 × 0.5%  = 11.86</t>
        </is>
      </c>
    </row>
    <row r="21">
      <c r="B21" s="4" t="inlineStr">
        <is>
          <t xml:space="preserve">  Labour    = (2,371.20 + 11.86) × 8% = 190.64</t>
        </is>
      </c>
    </row>
    <row r="22">
      <c r="B22" s="4" t="inlineStr">
        <is>
          <t xml:space="preserve">  Transport = 72 × 0.65 = 46.80</t>
        </is>
      </c>
    </row>
    <row r="23">
      <c r="B23" s="7" t="inlineStr">
        <is>
          <t xml:space="preserve">  TOTAL     = 2,371.20 + 11.86 + 190.64 + 46.80 = USD 2,620.50</t>
        </is>
      </c>
    </row>
    <row r="25">
      <c r="B25" s="2" t="inlineStr">
        <is>
          <t>Rates live in the "Quote Calculator" tab (orange cells) — change them there</t>
        </is>
      </c>
    </row>
    <row r="26">
      <c r="B26" s="2" t="inlineStr">
        <is>
          <t>and every figure updates. They mirror the website engine as of this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2026-06-03T08:39:54Z</dcterms:created>
  <dcterms:modified xmlns:dcterms="http://purl.org/dc/terms/" xmlns:xsi="http://www.w3.org/2001/XMLSchema-instance" xsi:type="dcterms:W3CDTF">2026-06-03T08:39:54Z</dcterms:modified>
</cp:coreProperties>
</file>